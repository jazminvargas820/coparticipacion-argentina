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NAP\RON_INFORMACIONCONSOLIDADA\"/>
    </mc:Choice>
  </mc:AlternateContent>
  <xr:revisionPtr revIDLastSave="0" documentId="13_ncr:1_{3590BFCF-89CC-45D3-BAB8-4C1451C59F61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enero" sheetId="1" r:id="rId1"/>
    <sheet name="febrero" sheetId="2" r:id="rId2"/>
    <sheet name="marzo" sheetId="4" r:id="rId3"/>
    <sheet name="abril" sheetId="6" r:id="rId4"/>
    <sheet name="mayo" sheetId="8" r:id="rId5"/>
    <sheet name="junio" sheetId="10" r:id="rId6"/>
    <sheet name="julio" sheetId="12" r:id="rId7"/>
    <sheet name="agosto" sheetId="13" r:id="rId8"/>
    <sheet name="septiembre" sheetId="16" r:id="rId9"/>
    <sheet name="octubre" sheetId="18" r:id="rId10"/>
    <sheet name="CONS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" i="19" l="1"/>
  <c r="O39" i="19"/>
  <c r="D38" i="19"/>
  <c r="F38" i="19" s="1"/>
  <c r="W38" i="19" s="1"/>
  <c r="D37" i="19"/>
  <c r="F37" i="19" s="1"/>
  <c r="W37" i="19" s="1"/>
  <c r="D36" i="19"/>
  <c r="F36" i="19" s="1"/>
  <c r="W36" i="19" s="1"/>
  <c r="AC35" i="19"/>
  <c r="D35" i="19"/>
  <c r="F35" i="19" s="1"/>
  <c r="D34" i="19"/>
  <c r="F34" i="19" s="1"/>
  <c r="W34" i="19" s="1"/>
  <c r="Y33" i="19"/>
  <c r="V33" i="19"/>
  <c r="V39" i="19" s="1"/>
  <c r="U33" i="19"/>
  <c r="U39" i="19" s="1"/>
  <c r="T33" i="19"/>
  <c r="T39" i="19" s="1"/>
  <c r="S33" i="19"/>
  <c r="R33" i="19"/>
  <c r="R39" i="19" s="1"/>
  <c r="Q33" i="19"/>
  <c r="Q39" i="19" s="1"/>
  <c r="P33" i="19"/>
  <c r="P39" i="19" s="1"/>
  <c r="O33" i="19"/>
  <c r="N33" i="19"/>
  <c r="N39" i="19" s="1"/>
  <c r="M33" i="19"/>
  <c r="M39" i="19" s="1"/>
  <c r="L33" i="19"/>
  <c r="L39" i="19" s="1"/>
  <c r="K33" i="19"/>
  <c r="K39" i="19" s="1"/>
  <c r="J33" i="19"/>
  <c r="J39" i="19" s="1"/>
  <c r="I33" i="19"/>
  <c r="I39" i="19" s="1"/>
  <c r="H33" i="19"/>
  <c r="H39" i="19" s="1"/>
  <c r="G33" i="19"/>
  <c r="G39" i="19" s="1"/>
  <c r="E33" i="19"/>
  <c r="E39" i="19" s="1"/>
  <c r="C33" i="19"/>
  <c r="C39" i="19" s="1"/>
  <c r="B33" i="19"/>
  <c r="B39" i="19" s="1"/>
  <c r="D32" i="19"/>
  <c r="F32" i="19" s="1"/>
  <c r="W32" i="19" s="1"/>
  <c r="D31" i="19"/>
  <c r="F31" i="19" s="1"/>
  <c r="W31" i="19" s="1"/>
  <c r="D30" i="19"/>
  <c r="F30" i="19" s="1"/>
  <c r="W30" i="19" s="1"/>
  <c r="D29" i="19"/>
  <c r="F29" i="19" s="1"/>
  <c r="W29" i="19" s="1"/>
  <c r="W28" i="19"/>
  <c r="AC28" i="19" s="1"/>
  <c r="F28" i="19"/>
  <c r="D28" i="19"/>
  <c r="D27" i="19"/>
  <c r="F27" i="19" s="1"/>
  <c r="W27" i="19" s="1"/>
  <c r="F26" i="19"/>
  <c r="W26" i="19" s="1"/>
  <c r="D26" i="19"/>
  <c r="D25" i="19"/>
  <c r="F25" i="19" s="1"/>
  <c r="W25" i="19" s="1"/>
  <c r="D24" i="19"/>
  <c r="F24" i="19" s="1"/>
  <c r="W24" i="19" s="1"/>
  <c r="D23" i="19"/>
  <c r="F23" i="19" s="1"/>
  <c r="W23" i="19" s="1"/>
  <c r="F22" i="19"/>
  <c r="W22" i="19" s="1"/>
  <c r="D22" i="19"/>
  <c r="D21" i="19"/>
  <c r="F21" i="19" s="1"/>
  <c r="W21" i="19" s="1"/>
  <c r="D20" i="19"/>
  <c r="F20" i="19" s="1"/>
  <c r="W20" i="19" s="1"/>
  <c r="F19" i="19"/>
  <c r="W19" i="19" s="1"/>
  <c r="D19" i="19"/>
  <c r="D18" i="19"/>
  <c r="F18" i="19" s="1"/>
  <c r="W18" i="19" s="1"/>
  <c r="D17" i="19"/>
  <c r="F17" i="19" s="1"/>
  <c r="W17" i="19" s="1"/>
  <c r="D16" i="19"/>
  <c r="F16" i="19" s="1"/>
  <c r="W16" i="19" s="1"/>
  <c r="D15" i="19"/>
  <c r="F15" i="19" s="1"/>
  <c r="W15" i="19" s="1"/>
  <c r="D14" i="19"/>
  <c r="F14" i="19" s="1"/>
  <c r="W14" i="19" s="1"/>
  <c r="D13" i="19"/>
  <c r="F13" i="19" s="1"/>
  <c r="W13" i="19" s="1"/>
  <c r="D12" i="19"/>
  <c r="F12" i="19" s="1"/>
  <c r="W12" i="19" s="1"/>
  <c r="D11" i="19"/>
  <c r="F11" i="19" s="1"/>
  <c r="W11" i="19" s="1"/>
  <c r="D10" i="19"/>
  <c r="D33" i="19" s="1"/>
  <c r="D39" i="19" s="1"/>
  <c r="E55" i="18"/>
  <c r="E52" i="18"/>
  <c r="V39" i="18"/>
  <c r="U39" i="18"/>
  <c r="T39" i="18"/>
  <c r="S39" i="18"/>
  <c r="R39" i="18"/>
  <c r="Q39" i="18"/>
  <c r="P39" i="18"/>
  <c r="E39" i="18"/>
  <c r="C39" i="18"/>
  <c r="B39" i="18"/>
  <c r="D38" i="18"/>
  <c r="F38" i="18" s="1"/>
  <c r="W38" i="18" s="1"/>
  <c r="AC38" i="18" s="1"/>
  <c r="F37" i="18"/>
  <c r="W37" i="18" s="1"/>
  <c r="AC37" i="18" s="1"/>
  <c r="D37" i="18"/>
  <c r="AA36" i="18"/>
  <c r="D36" i="18"/>
  <c r="F36" i="18" s="1"/>
  <c r="W36" i="18" s="1"/>
  <c r="AC36" i="18" s="1"/>
  <c r="AC35" i="18"/>
  <c r="D35" i="18"/>
  <c r="F35" i="18" s="1"/>
  <c r="F34" i="18"/>
  <c r="W34" i="18" s="1"/>
  <c r="AC34" i="18" s="1"/>
  <c r="D34" i="18"/>
  <c r="AA33" i="18"/>
  <c r="Y33" i="18"/>
  <c r="Y36" i="18" s="1"/>
  <c r="Y39" i="18" s="1"/>
  <c r="V33" i="18"/>
  <c r="U33" i="18"/>
  <c r="T33" i="18"/>
  <c r="S33" i="18"/>
  <c r="R33" i="18"/>
  <c r="Q33" i="18"/>
  <c r="P33" i="18"/>
  <c r="O33" i="18"/>
  <c r="O39" i="18" s="1"/>
  <c r="N33" i="18"/>
  <c r="N39" i="18" s="1"/>
  <c r="M33" i="18"/>
  <c r="M39" i="18" s="1"/>
  <c r="L33" i="18"/>
  <c r="L39" i="18" s="1"/>
  <c r="K33" i="18"/>
  <c r="K39" i="18" s="1"/>
  <c r="J33" i="18"/>
  <c r="J39" i="18" s="1"/>
  <c r="I33" i="18"/>
  <c r="I39" i="18" s="1"/>
  <c r="H33" i="18"/>
  <c r="H39" i="18" s="1"/>
  <c r="G33" i="18"/>
  <c r="G39" i="18" s="1"/>
  <c r="E33" i="18"/>
  <c r="C33" i="18"/>
  <c r="B33" i="18"/>
  <c r="D32" i="18"/>
  <c r="F32" i="18" s="1"/>
  <c r="W32" i="18" s="1"/>
  <c r="AC32" i="18" s="1"/>
  <c r="D31" i="18"/>
  <c r="F31" i="18" s="1"/>
  <c r="W31" i="18" s="1"/>
  <c r="AC31" i="18" s="1"/>
  <c r="W30" i="18"/>
  <c r="AC30" i="18" s="1"/>
  <c r="F30" i="18"/>
  <c r="D30" i="18"/>
  <c r="D29" i="18"/>
  <c r="F29" i="18" s="1"/>
  <c r="W29" i="18" s="1"/>
  <c r="AC29" i="18" s="1"/>
  <c r="D28" i="18"/>
  <c r="F28" i="18" s="1"/>
  <c r="W28" i="18" s="1"/>
  <c r="AC28" i="18" s="1"/>
  <c r="D27" i="18"/>
  <c r="F27" i="18" s="1"/>
  <c r="W27" i="18" s="1"/>
  <c r="AC27" i="18" s="1"/>
  <c r="D26" i="18"/>
  <c r="F26" i="18" s="1"/>
  <c r="W26" i="18" s="1"/>
  <c r="AC26" i="18" s="1"/>
  <c r="D25" i="18"/>
  <c r="F25" i="18" s="1"/>
  <c r="W25" i="18" s="1"/>
  <c r="AC25" i="18" s="1"/>
  <c r="D24" i="18"/>
  <c r="F24" i="18" s="1"/>
  <c r="W24" i="18" s="1"/>
  <c r="AC24" i="18" s="1"/>
  <c r="D23" i="18"/>
  <c r="F23" i="18" s="1"/>
  <c r="W23" i="18" s="1"/>
  <c r="AC23" i="18" s="1"/>
  <c r="F22" i="18"/>
  <c r="W22" i="18" s="1"/>
  <c r="AC22" i="18" s="1"/>
  <c r="D22" i="18"/>
  <c r="D21" i="18"/>
  <c r="F21" i="18" s="1"/>
  <c r="W21" i="18" s="1"/>
  <c r="AC21" i="18" s="1"/>
  <c r="D20" i="18"/>
  <c r="F20" i="18" s="1"/>
  <c r="W20" i="18" s="1"/>
  <c r="AC20" i="18" s="1"/>
  <c r="F19" i="18"/>
  <c r="W19" i="18" s="1"/>
  <c r="AC19" i="18" s="1"/>
  <c r="D19" i="18"/>
  <c r="D18" i="18"/>
  <c r="F18" i="18" s="1"/>
  <c r="W18" i="18" s="1"/>
  <c r="AC18" i="18" s="1"/>
  <c r="D17" i="18"/>
  <c r="F17" i="18" s="1"/>
  <c r="W17" i="18" s="1"/>
  <c r="AC17" i="18" s="1"/>
  <c r="D16" i="18"/>
  <c r="F16" i="18" s="1"/>
  <c r="W16" i="18" s="1"/>
  <c r="AC16" i="18" s="1"/>
  <c r="D15" i="18"/>
  <c r="F15" i="18" s="1"/>
  <c r="W15" i="18" s="1"/>
  <c r="AC15" i="18" s="1"/>
  <c r="D14" i="18"/>
  <c r="F14" i="18" s="1"/>
  <c r="W14" i="18" s="1"/>
  <c r="AC14" i="18" s="1"/>
  <c r="F13" i="18"/>
  <c r="W13" i="18" s="1"/>
  <c r="AC13" i="18" s="1"/>
  <c r="D13" i="18"/>
  <c r="D12" i="18"/>
  <c r="F12" i="18" s="1"/>
  <c r="W12" i="18" s="1"/>
  <c r="AC12" i="18" s="1"/>
  <c r="D11" i="18"/>
  <c r="F11" i="18" s="1"/>
  <c r="W11" i="18" s="1"/>
  <c r="AC11" i="18" s="1"/>
  <c r="D10" i="18"/>
  <c r="D33" i="18" s="1"/>
  <c r="D39" i="18" s="1"/>
  <c r="E52" i="16"/>
  <c r="E55" i="16" s="1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C41" i="16"/>
  <c r="B41" i="16"/>
  <c r="V39" i="16"/>
  <c r="U39" i="16"/>
  <c r="T39" i="16"/>
  <c r="S39" i="16"/>
  <c r="R39" i="16"/>
  <c r="Q39" i="16"/>
  <c r="P39" i="16"/>
  <c r="E39" i="16"/>
  <c r="B39" i="16"/>
  <c r="D38" i="16"/>
  <c r="F38" i="16" s="1"/>
  <c r="W38" i="16" s="1"/>
  <c r="AC38" i="16" s="1"/>
  <c r="D37" i="16"/>
  <c r="F37" i="16" s="1"/>
  <c r="W37" i="16" s="1"/>
  <c r="AC37" i="16" s="1"/>
  <c r="D36" i="16"/>
  <c r="F36" i="16" s="1"/>
  <c r="W36" i="16" s="1"/>
  <c r="AC36" i="16" s="1"/>
  <c r="AC35" i="16"/>
  <c r="D35" i="16"/>
  <c r="F35" i="16" s="1"/>
  <c r="F34" i="16"/>
  <c r="W34" i="16" s="1"/>
  <c r="AC34" i="16" s="1"/>
  <c r="D34" i="16"/>
  <c r="AA33" i="16"/>
  <c r="AA36" i="16" s="1"/>
  <c r="Y33" i="16"/>
  <c r="Y36" i="16" s="1"/>
  <c r="Y39" i="16" s="1"/>
  <c r="V33" i="16"/>
  <c r="U33" i="16"/>
  <c r="T33" i="16"/>
  <c r="S33" i="16"/>
  <c r="R33" i="16"/>
  <c r="Q33" i="16"/>
  <c r="P33" i="16"/>
  <c r="O33" i="16"/>
  <c r="O39" i="16" s="1"/>
  <c r="N33" i="16"/>
  <c r="N39" i="16" s="1"/>
  <c r="M33" i="16"/>
  <c r="M39" i="16" s="1"/>
  <c r="L33" i="16"/>
  <c r="L39" i="16" s="1"/>
  <c r="K33" i="16"/>
  <c r="K39" i="16" s="1"/>
  <c r="J33" i="16"/>
  <c r="J39" i="16" s="1"/>
  <c r="I33" i="16"/>
  <c r="I39" i="16" s="1"/>
  <c r="H33" i="16"/>
  <c r="H39" i="16" s="1"/>
  <c r="G33" i="16"/>
  <c r="G39" i="16" s="1"/>
  <c r="E33" i="16"/>
  <c r="C33" i="16"/>
  <c r="C39" i="16" s="1"/>
  <c r="B33" i="16"/>
  <c r="F32" i="16"/>
  <c r="W32" i="16" s="1"/>
  <c r="AC32" i="16" s="1"/>
  <c r="D32" i="16"/>
  <c r="D31" i="16"/>
  <c r="F31" i="16" s="1"/>
  <c r="W31" i="16" s="1"/>
  <c r="AC31" i="16" s="1"/>
  <c r="D30" i="16"/>
  <c r="F30" i="16" s="1"/>
  <c r="W30" i="16" s="1"/>
  <c r="AC30" i="16" s="1"/>
  <c r="D29" i="16"/>
  <c r="F29" i="16" s="1"/>
  <c r="W29" i="16" s="1"/>
  <c r="AC29" i="16" s="1"/>
  <c r="D28" i="16"/>
  <c r="F28" i="16" s="1"/>
  <c r="W28" i="16" s="1"/>
  <c r="AC28" i="16" s="1"/>
  <c r="D27" i="16"/>
  <c r="F27" i="16" s="1"/>
  <c r="W27" i="16" s="1"/>
  <c r="AC27" i="16" s="1"/>
  <c r="D26" i="16"/>
  <c r="F26" i="16" s="1"/>
  <c r="W26" i="16" s="1"/>
  <c r="AC26" i="16" s="1"/>
  <c r="W25" i="16"/>
  <c r="AC25" i="16" s="1"/>
  <c r="F25" i="16"/>
  <c r="D25" i="16"/>
  <c r="D24" i="16"/>
  <c r="F24" i="16" s="1"/>
  <c r="W24" i="16" s="1"/>
  <c r="AC24" i="16" s="1"/>
  <c r="F23" i="16"/>
  <c r="W23" i="16" s="1"/>
  <c r="AC23" i="16" s="1"/>
  <c r="D23" i="16"/>
  <c r="F22" i="16"/>
  <c r="W22" i="16" s="1"/>
  <c r="AC22" i="16" s="1"/>
  <c r="D22" i="16"/>
  <c r="F21" i="16"/>
  <c r="W21" i="16" s="1"/>
  <c r="AC21" i="16" s="1"/>
  <c r="D21" i="16"/>
  <c r="D20" i="16"/>
  <c r="F20" i="16" s="1"/>
  <c r="W20" i="16" s="1"/>
  <c r="AC20" i="16" s="1"/>
  <c r="F19" i="16"/>
  <c r="W19" i="16" s="1"/>
  <c r="AC19" i="16" s="1"/>
  <c r="D19" i="16"/>
  <c r="D18" i="16"/>
  <c r="F18" i="16" s="1"/>
  <c r="W18" i="16" s="1"/>
  <c r="AC18" i="16" s="1"/>
  <c r="D17" i="16"/>
  <c r="F17" i="16" s="1"/>
  <c r="W17" i="16" s="1"/>
  <c r="AC17" i="16" s="1"/>
  <c r="D16" i="16"/>
  <c r="F16" i="16" s="1"/>
  <c r="W16" i="16" s="1"/>
  <c r="AC16" i="16" s="1"/>
  <c r="D15" i="16"/>
  <c r="F15" i="16" s="1"/>
  <c r="W15" i="16" s="1"/>
  <c r="AC15" i="16" s="1"/>
  <c r="D14" i="16"/>
  <c r="F14" i="16" s="1"/>
  <c r="W14" i="16" s="1"/>
  <c r="AC14" i="16" s="1"/>
  <c r="F13" i="16"/>
  <c r="W13" i="16" s="1"/>
  <c r="AC13" i="16" s="1"/>
  <c r="D13" i="16"/>
  <c r="D12" i="16"/>
  <c r="F12" i="16" s="1"/>
  <c r="W12" i="16" s="1"/>
  <c r="AC12" i="16" s="1"/>
  <c r="D11" i="16"/>
  <c r="F11" i="16" s="1"/>
  <c r="W11" i="16" s="1"/>
  <c r="AC11" i="16" s="1"/>
  <c r="D10" i="16"/>
  <c r="D33" i="16" s="1"/>
  <c r="D39" i="16" s="1"/>
  <c r="AC20" i="19" l="1"/>
  <c r="F39" i="19"/>
  <c r="AC11" i="19"/>
  <c r="AC29" i="19"/>
  <c r="AC34" i="19"/>
  <c r="AC14" i="19"/>
  <c r="AC32" i="19"/>
  <c r="AC21" i="19"/>
  <c r="AC22" i="19"/>
  <c r="AC24" i="19"/>
  <c r="AC30" i="19"/>
  <c r="AC15" i="19"/>
  <c r="AC36" i="19"/>
  <c r="AC23" i="19"/>
  <c r="AC25" i="19"/>
  <c r="AC13" i="19"/>
  <c r="AC16" i="19"/>
  <c r="AC37" i="19"/>
  <c r="AC31" i="19"/>
  <c r="AC17" i="19"/>
  <c r="AC38" i="19"/>
  <c r="AC12" i="19"/>
  <c r="AC18" i="19"/>
  <c r="AC27" i="19"/>
  <c r="AC26" i="19"/>
  <c r="AC19" i="19"/>
  <c r="F10" i="19"/>
  <c r="Y39" i="19"/>
  <c r="F10" i="18"/>
  <c r="F10" i="16"/>
  <c r="E52" i="13"/>
  <c r="E55" i="13" s="1"/>
  <c r="T39" i="13"/>
  <c r="S39" i="13"/>
  <c r="Q39" i="13"/>
  <c r="P39" i="13"/>
  <c r="O39" i="13"/>
  <c r="N39" i="13"/>
  <c r="M39" i="13"/>
  <c r="L39" i="13"/>
  <c r="K39" i="13"/>
  <c r="J39" i="13"/>
  <c r="I39" i="13"/>
  <c r="H39" i="13"/>
  <c r="G39" i="13"/>
  <c r="E39" i="13"/>
  <c r="D38" i="13"/>
  <c r="F38" i="13" s="1"/>
  <c r="W38" i="13" s="1"/>
  <c r="AC38" i="13" s="1"/>
  <c r="F37" i="13"/>
  <c r="W37" i="13" s="1"/>
  <c r="AC37" i="13" s="1"/>
  <c r="D37" i="13"/>
  <c r="AA36" i="13"/>
  <c r="Y36" i="13"/>
  <c r="D36" i="13"/>
  <c r="F36" i="13" s="1"/>
  <c r="W36" i="13" s="1"/>
  <c r="AC36" i="13" s="1"/>
  <c r="AC35" i="13"/>
  <c r="D35" i="13"/>
  <c r="F35" i="13" s="1"/>
  <c r="D34" i="13"/>
  <c r="F34" i="13" s="1"/>
  <c r="W34" i="13" s="1"/>
  <c r="AC34" i="13" s="1"/>
  <c r="AA33" i="13"/>
  <c r="Y33" i="13"/>
  <c r="Y39" i="13" s="1"/>
  <c r="V33" i="13"/>
  <c r="V39" i="13" s="1"/>
  <c r="U33" i="13"/>
  <c r="U39" i="13" s="1"/>
  <c r="T33" i="13"/>
  <c r="S33" i="13"/>
  <c r="R33" i="13"/>
  <c r="R39" i="13" s="1"/>
  <c r="Q33" i="13"/>
  <c r="P33" i="13"/>
  <c r="O33" i="13"/>
  <c r="N33" i="13"/>
  <c r="M33" i="13"/>
  <c r="L33" i="13"/>
  <c r="K33" i="13"/>
  <c r="J33" i="13"/>
  <c r="I33" i="13"/>
  <c r="H33" i="13"/>
  <c r="G33" i="13"/>
  <c r="E33" i="13"/>
  <c r="C33" i="13"/>
  <c r="C39" i="13" s="1"/>
  <c r="B33" i="13"/>
  <c r="B39" i="13" s="1"/>
  <c r="D32" i="13"/>
  <c r="F32" i="13" s="1"/>
  <c r="W32" i="13" s="1"/>
  <c r="AC32" i="13" s="1"/>
  <c r="D31" i="13"/>
  <c r="F31" i="13" s="1"/>
  <c r="W31" i="13" s="1"/>
  <c r="AC31" i="13" s="1"/>
  <c r="D30" i="13"/>
  <c r="F30" i="13" s="1"/>
  <c r="W30" i="13" s="1"/>
  <c r="AC30" i="13" s="1"/>
  <c r="D29" i="13"/>
  <c r="F29" i="13" s="1"/>
  <c r="W29" i="13" s="1"/>
  <c r="AC29" i="13" s="1"/>
  <c r="D28" i="13"/>
  <c r="F28" i="13" s="1"/>
  <c r="W28" i="13" s="1"/>
  <c r="AC28" i="13" s="1"/>
  <c r="D27" i="13"/>
  <c r="F27" i="13" s="1"/>
  <c r="W27" i="13" s="1"/>
  <c r="AC27" i="13" s="1"/>
  <c r="D26" i="13"/>
  <c r="F26" i="13" s="1"/>
  <c r="W26" i="13" s="1"/>
  <c r="AC26" i="13" s="1"/>
  <c r="D25" i="13"/>
  <c r="F25" i="13" s="1"/>
  <c r="W25" i="13" s="1"/>
  <c r="AC25" i="13" s="1"/>
  <c r="D24" i="13"/>
  <c r="F24" i="13" s="1"/>
  <c r="W24" i="13" s="1"/>
  <c r="AC24" i="13" s="1"/>
  <c r="D23" i="13"/>
  <c r="F23" i="13" s="1"/>
  <c r="W23" i="13" s="1"/>
  <c r="AC23" i="13" s="1"/>
  <c r="D22" i="13"/>
  <c r="F22" i="13" s="1"/>
  <c r="W22" i="13" s="1"/>
  <c r="AC22" i="13" s="1"/>
  <c r="D21" i="13"/>
  <c r="F21" i="13" s="1"/>
  <c r="W21" i="13" s="1"/>
  <c r="AC21" i="13" s="1"/>
  <c r="D20" i="13"/>
  <c r="F20" i="13" s="1"/>
  <c r="W20" i="13" s="1"/>
  <c r="AC20" i="13" s="1"/>
  <c r="D19" i="13"/>
  <c r="F19" i="13" s="1"/>
  <c r="W19" i="13" s="1"/>
  <c r="AC19" i="13" s="1"/>
  <c r="D18" i="13"/>
  <c r="F18" i="13" s="1"/>
  <c r="W18" i="13" s="1"/>
  <c r="AC18" i="13" s="1"/>
  <c r="D17" i="13"/>
  <c r="F17" i="13" s="1"/>
  <c r="W17" i="13" s="1"/>
  <c r="AC17" i="13" s="1"/>
  <c r="D16" i="13"/>
  <c r="F16" i="13" s="1"/>
  <c r="W16" i="13" s="1"/>
  <c r="AC16" i="13" s="1"/>
  <c r="D15" i="13"/>
  <c r="F15" i="13" s="1"/>
  <c r="W15" i="13" s="1"/>
  <c r="AC15" i="13" s="1"/>
  <c r="D14" i="13"/>
  <c r="F14" i="13" s="1"/>
  <c r="W14" i="13" s="1"/>
  <c r="AC14" i="13" s="1"/>
  <c r="D13" i="13"/>
  <c r="F13" i="13" s="1"/>
  <c r="W13" i="13" s="1"/>
  <c r="AC13" i="13" s="1"/>
  <c r="D12" i="13"/>
  <c r="F12" i="13" s="1"/>
  <c r="W12" i="13" s="1"/>
  <c r="AC12" i="13" s="1"/>
  <c r="D11" i="13"/>
  <c r="F11" i="13" s="1"/>
  <c r="W11" i="13" s="1"/>
  <c r="AC11" i="13" s="1"/>
  <c r="D10" i="13"/>
  <c r="F10" i="13" s="1"/>
  <c r="E52" i="12"/>
  <c r="E55" i="12" s="1"/>
  <c r="Y39" i="12"/>
  <c r="V39" i="12"/>
  <c r="U39" i="12"/>
  <c r="T39" i="12"/>
  <c r="S39" i="12"/>
  <c r="R39" i="12"/>
  <c r="Q39" i="12"/>
  <c r="P39" i="12"/>
  <c r="E39" i="12"/>
  <c r="C39" i="12"/>
  <c r="B39" i="12"/>
  <c r="D38" i="12"/>
  <c r="F38" i="12" s="1"/>
  <c r="W38" i="12" s="1"/>
  <c r="AC38" i="12" s="1"/>
  <c r="D37" i="12"/>
  <c r="F37" i="12" s="1"/>
  <c r="W37" i="12" s="1"/>
  <c r="AC37" i="12" s="1"/>
  <c r="AA36" i="12"/>
  <c r="Y36" i="12"/>
  <c r="D36" i="12"/>
  <c r="F36" i="12" s="1"/>
  <c r="W36" i="12" s="1"/>
  <c r="AC36" i="12" s="1"/>
  <c r="AC35" i="12"/>
  <c r="D35" i="12"/>
  <c r="F35" i="12" s="1"/>
  <c r="F34" i="12"/>
  <c r="W34" i="12" s="1"/>
  <c r="AC34" i="12" s="1"/>
  <c r="D34" i="12"/>
  <c r="AA33" i="12"/>
  <c r="Y33" i="12"/>
  <c r="V33" i="12"/>
  <c r="U33" i="12"/>
  <c r="T33" i="12"/>
  <c r="S33" i="12"/>
  <c r="R33" i="12"/>
  <c r="Q33" i="12"/>
  <c r="P33" i="12"/>
  <c r="O33" i="12"/>
  <c r="O39" i="12" s="1"/>
  <c r="N33" i="12"/>
  <c r="N39" i="12" s="1"/>
  <c r="M33" i="12"/>
  <c r="M39" i="12" s="1"/>
  <c r="L33" i="12"/>
  <c r="L39" i="12" s="1"/>
  <c r="K33" i="12"/>
  <c r="K39" i="12" s="1"/>
  <c r="J33" i="12"/>
  <c r="J39" i="12" s="1"/>
  <c r="I33" i="12"/>
  <c r="I39" i="12" s="1"/>
  <c r="H33" i="12"/>
  <c r="H39" i="12" s="1"/>
  <c r="G33" i="12"/>
  <c r="G39" i="12" s="1"/>
  <c r="E33" i="12"/>
  <c r="C33" i="12"/>
  <c r="B33" i="12"/>
  <c r="D32" i="12"/>
  <c r="F32" i="12" s="1"/>
  <c r="W32" i="12" s="1"/>
  <c r="AC32" i="12" s="1"/>
  <c r="D31" i="12"/>
  <c r="F31" i="12" s="1"/>
  <c r="W31" i="12" s="1"/>
  <c r="AC31" i="12" s="1"/>
  <c r="D30" i="12"/>
  <c r="F30" i="12" s="1"/>
  <c r="W30" i="12" s="1"/>
  <c r="AC30" i="12" s="1"/>
  <c r="D29" i="12"/>
  <c r="F29" i="12" s="1"/>
  <c r="W29" i="12" s="1"/>
  <c r="AC29" i="12" s="1"/>
  <c r="D28" i="12"/>
  <c r="F28" i="12" s="1"/>
  <c r="W28" i="12" s="1"/>
  <c r="AC28" i="12" s="1"/>
  <c r="D27" i="12"/>
  <c r="F27" i="12" s="1"/>
  <c r="W27" i="12" s="1"/>
  <c r="AC27" i="12" s="1"/>
  <c r="D26" i="12"/>
  <c r="F26" i="12" s="1"/>
  <c r="W26" i="12" s="1"/>
  <c r="AC26" i="12" s="1"/>
  <c r="D25" i="12"/>
  <c r="F25" i="12" s="1"/>
  <c r="W25" i="12" s="1"/>
  <c r="AC25" i="12" s="1"/>
  <c r="D24" i="12"/>
  <c r="F24" i="12" s="1"/>
  <c r="W24" i="12" s="1"/>
  <c r="AC24" i="12" s="1"/>
  <c r="F23" i="12"/>
  <c r="W23" i="12" s="1"/>
  <c r="AC23" i="12" s="1"/>
  <c r="D23" i="12"/>
  <c r="D22" i="12"/>
  <c r="F22" i="12" s="1"/>
  <c r="W22" i="12" s="1"/>
  <c r="AC22" i="12" s="1"/>
  <c r="D21" i="12"/>
  <c r="F21" i="12" s="1"/>
  <c r="W21" i="12" s="1"/>
  <c r="AC21" i="12" s="1"/>
  <c r="D20" i="12"/>
  <c r="F20" i="12" s="1"/>
  <c r="W20" i="12" s="1"/>
  <c r="AC20" i="12" s="1"/>
  <c r="D19" i="12"/>
  <c r="F19" i="12" s="1"/>
  <c r="W19" i="12" s="1"/>
  <c r="AC19" i="12" s="1"/>
  <c r="D18" i="12"/>
  <c r="F18" i="12" s="1"/>
  <c r="W18" i="12" s="1"/>
  <c r="AC18" i="12" s="1"/>
  <c r="D17" i="12"/>
  <c r="F17" i="12" s="1"/>
  <c r="W17" i="12" s="1"/>
  <c r="AC17" i="12" s="1"/>
  <c r="D16" i="12"/>
  <c r="F16" i="12" s="1"/>
  <c r="W16" i="12" s="1"/>
  <c r="AC16" i="12" s="1"/>
  <c r="D15" i="12"/>
  <c r="F15" i="12" s="1"/>
  <c r="W15" i="12" s="1"/>
  <c r="AC15" i="12" s="1"/>
  <c r="D14" i="12"/>
  <c r="F14" i="12" s="1"/>
  <c r="W14" i="12" s="1"/>
  <c r="AC14" i="12" s="1"/>
  <c r="F13" i="12"/>
  <c r="W13" i="12" s="1"/>
  <c r="AC13" i="12" s="1"/>
  <c r="D13" i="12"/>
  <c r="D12" i="12"/>
  <c r="F12" i="12" s="1"/>
  <c r="W12" i="12" s="1"/>
  <c r="AC12" i="12" s="1"/>
  <c r="F11" i="12"/>
  <c r="W11" i="12" s="1"/>
  <c r="AC11" i="12" s="1"/>
  <c r="D11" i="12"/>
  <c r="D10" i="12"/>
  <c r="F10" i="12" s="1"/>
  <c r="F33" i="19" l="1"/>
  <c r="W10" i="19"/>
  <c r="F33" i="18"/>
  <c r="F39" i="18" s="1"/>
  <c r="W10" i="18"/>
  <c r="F33" i="16"/>
  <c r="F39" i="16" s="1"/>
  <c r="W10" i="16"/>
  <c r="F33" i="13"/>
  <c r="F39" i="13" s="1"/>
  <c r="W10" i="13"/>
  <c r="D33" i="13"/>
  <c r="D39" i="13" s="1"/>
  <c r="F33" i="12"/>
  <c r="F39" i="12" s="1"/>
  <c r="W10" i="12"/>
  <c r="D33" i="12"/>
  <c r="D39" i="12" s="1"/>
  <c r="E55" i="10"/>
  <c r="E52" i="10"/>
  <c r="Y39" i="10"/>
  <c r="V39" i="10"/>
  <c r="U39" i="10"/>
  <c r="T39" i="10"/>
  <c r="S39" i="10"/>
  <c r="R39" i="10"/>
  <c r="Q39" i="10"/>
  <c r="P39" i="10"/>
  <c r="O39" i="10"/>
  <c r="E39" i="10"/>
  <c r="C39" i="10"/>
  <c r="B39" i="10"/>
  <c r="D38" i="10"/>
  <c r="F38" i="10" s="1"/>
  <c r="W38" i="10" s="1"/>
  <c r="AC38" i="10" s="1"/>
  <c r="D37" i="10"/>
  <c r="F37" i="10" s="1"/>
  <c r="W37" i="10" s="1"/>
  <c r="AC37" i="10" s="1"/>
  <c r="Y36" i="10"/>
  <c r="D36" i="10"/>
  <c r="F36" i="10" s="1"/>
  <c r="W36" i="10" s="1"/>
  <c r="AC35" i="10"/>
  <c r="D35" i="10"/>
  <c r="F35" i="10" s="1"/>
  <c r="D34" i="10"/>
  <c r="F34" i="10" s="1"/>
  <c r="W34" i="10" s="1"/>
  <c r="AC34" i="10" s="1"/>
  <c r="AA33" i="10"/>
  <c r="AA36" i="10" s="1"/>
  <c r="Y33" i="10"/>
  <c r="V33" i="10"/>
  <c r="U33" i="10"/>
  <c r="T33" i="10"/>
  <c r="S33" i="10"/>
  <c r="R33" i="10"/>
  <c r="Q33" i="10"/>
  <c r="P33" i="10"/>
  <c r="O33" i="10"/>
  <c r="N33" i="10"/>
  <c r="N39" i="10" s="1"/>
  <c r="M33" i="10"/>
  <c r="M39" i="10" s="1"/>
  <c r="L33" i="10"/>
  <c r="L39" i="10" s="1"/>
  <c r="K33" i="10"/>
  <c r="K39" i="10" s="1"/>
  <c r="J33" i="10"/>
  <c r="J39" i="10" s="1"/>
  <c r="I33" i="10"/>
  <c r="I39" i="10" s="1"/>
  <c r="H33" i="10"/>
  <c r="H39" i="10" s="1"/>
  <c r="G33" i="10"/>
  <c r="G39" i="10" s="1"/>
  <c r="E33" i="10"/>
  <c r="C33" i="10"/>
  <c r="B33" i="10"/>
  <c r="D32" i="10"/>
  <c r="F32" i="10" s="1"/>
  <c r="W32" i="10" s="1"/>
  <c r="AC32" i="10" s="1"/>
  <c r="D31" i="10"/>
  <c r="F31" i="10" s="1"/>
  <c r="W31" i="10" s="1"/>
  <c r="AC31" i="10" s="1"/>
  <c r="F30" i="10"/>
  <c r="W30" i="10" s="1"/>
  <c r="AC30" i="10" s="1"/>
  <c r="D30" i="10"/>
  <c r="D29" i="10"/>
  <c r="F29" i="10" s="1"/>
  <c r="W29" i="10" s="1"/>
  <c r="AC29" i="10" s="1"/>
  <c r="D28" i="10"/>
  <c r="F28" i="10" s="1"/>
  <c r="W28" i="10" s="1"/>
  <c r="AC28" i="10" s="1"/>
  <c r="D27" i="10"/>
  <c r="F27" i="10" s="1"/>
  <c r="W27" i="10" s="1"/>
  <c r="AC27" i="10" s="1"/>
  <c r="F26" i="10"/>
  <c r="W26" i="10" s="1"/>
  <c r="AC26" i="10" s="1"/>
  <c r="D26" i="10"/>
  <c r="D25" i="10"/>
  <c r="F25" i="10" s="1"/>
  <c r="W25" i="10" s="1"/>
  <c r="AC25" i="10" s="1"/>
  <c r="D24" i="10"/>
  <c r="F24" i="10" s="1"/>
  <c r="W24" i="10" s="1"/>
  <c r="AC24" i="10" s="1"/>
  <c r="W23" i="10"/>
  <c r="AC23" i="10" s="1"/>
  <c r="F23" i="10"/>
  <c r="D23" i="10"/>
  <c r="D22" i="10"/>
  <c r="F22" i="10" s="1"/>
  <c r="W22" i="10" s="1"/>
  <c r="AC22" i="10" s="1"/>
  <c r="D21" i="10"/>
  <c r="F21" i="10" s="1"/>
  <c r="W21" i="10" s="1"/>
  <c r="AC21" i="10" s="1"/>
  <c r="D20" i="10"/>
  <c r="F20" i="10" s="1"/>
  <c r="W20" i="10" s="1"/>
  <c r="AC20" i="10" s="1"/>
  <c r="D19" i="10"/>
  <c r="F19" i="10" s="1"/>
  <c r="W19" i="10" s="1"/>
  <c r="AC19" i="10" s="1"/>
  <c r="D18" i="10"/>
  <c r="F18" i="10" s="1"/>
  <c r="W18" i="10" s="1"/>
  <c r="AC18" i="10" s="1"/>
  <c r="D17" i="10"/>
  <c r="F17" i="10" s="1"/>
  <c r="W17" i="10" s="1"/>
  <c r="AC17" i="10" s="1"/>
  <c r="D16" i="10"/>
  <c r="F16" i="10" s="1"/>
  <c r="W16" i="10" s="1"/>
  <c r="AC16" i="10" s="1"/>
  <c r="F15" i="10"/>
  <c r="W15" i="10" s="1"/>
  <c r="AC15" i="10" s="1"/>
  <c r="D15" i="10"/>
  <c r="D14" i="10"/>
  <c r="F14" i="10" s="1"/>
  <c r="W14" i="10" s="1"/>
  <c r="AC14" i="10" s="1"/>
  <c r="D13" i="10"/>
  <c r="F13" i="10" s="1"/>
  <c r="W13" i="10" s="1"/>
  <c r="AC13" i="10" s="1"/>
  <c r="F12" i="10"/>
  <c r="W12" i="10" s="1"/>
  <c r="AC12" i="10" s="1"/>
  <c r="D12" i="10"/>
  <c r="D11" i="10"/>
  <c r="F11" i="10" s="1"/>
  <c r="W11" i="10" s="1"/>
  <c r="AC11" i="10" s="1"/>
  <c r="D10" i="10"/>
  <c r="D33" i="10" s="1"/>
  <c r="D39" i="10" s="1"/>
  <c r="E52" i="8"/>
  <c r="E55" i="8" s="1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D38" i="8"/>
  <c r="F38" i="8" s="1"/>
  <c r="W38" i="8" s="1"/>
  <c r="AC38" i="8" s="1"/>
  <c r="D37" i="8"/>
  <c r="F37" i="8" s="1"/>
  <c r="W37" i="8" s="1"/>
  <c r="AC37" i="8" s="1"/>
  <c r="D36" i="8"/>
  <c r="F36" i="8" s="1"/>
  <c r="W36" i="8" s="1"/>
  <c r="AC35" i="8"/>
  <c r="F35" i="8"/>
  <c r="D35" i="8"/>
  <c r="D34" i="8"/>
  <c r="F34" i="8" s="1"/>
  <c r="W34" i="8" s="1"/>
  <c r="AC34" i="8" s="1"/>
  <c r="AA33" i="8"/>
  <c r="AA36" i="8" s="1"/>
  <c r="Y33" i="8"/>
  <c r="Y36" i="8" s="1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H39" i="8" s="1"/>
  <c r="G33" i="8"/>
  <c r="G39" i="8" s="1"/>
  <c r="E33" i="8"/>
  <c r="E39" i="8" s="1"/>
  <c r="C33" i="8"/>
  <c r="C39" i="8" s="1"/>
  <c r="B33" i="8"/>
  <c r="B39" i="8" s="1"/>
  <c r="D32" i="8"/>
  <c r="F32" i="8" s="1"/>
  <c r="W32" i="8" s="1"/>
  <c r="AC32" i="8" s="1"/>
  <c r="D31" i="8"/>
  <c r="F31" i="8" s="1"/>
  <c r="W31" i="8" s="1"/>
  <c r="AC31" i="8" s="1"/>
  <c r="D30" i="8"/>
  <c r="F30" i="8" s="1"/>
  <c r="W30" i="8" s="1"/>
  <c r="AC30" i="8" s="1"/>
  <c r="D29" i="8"/>
  <c r="F29" i="8" s="1"/>
  <c r="W29" i="8" s="1"/>
  <c r="AC29" i="8" s="1"/>
  <c r="D28" i="8"/>
  <c r="F28" i="8" s="1"/>
  <c r="W28" i="8" s="1"/>
  <c r="AC28" i="8" s="1"/>
  <c r="D27" i="8"/>
  <c r="F27" i="8" s="1"/>
  <c r="W27" i="8" s="1"/>
  <c r="AC27" i="8" s="1"/>
  <c r="D26" i="8"/>
  <c r="F26" i="8" s="1"/>
  <c r="W26" i="8" s="1"/>
  <c r="AC26" i="8" s="1"/>
  <c r="D25" i="8"/>
  <c r="F25" i="8" s="1"/>
  <c r="W25" i="8" s="1"/>
  <c r="AC25" i="8" s="1"/>
  <c r="D24" i="8"/>
  <c r="F24" i="8" s="1"/>
  <c r="W24" i="8" s="1"/>
  <c r="AC24" i="8" s="1"/>
  <c r="D23" i="8"/>
  <c r="F23" i="8" s="1"/>
  <c r="W23" i="8" s="1"/>
  <c r="AC23" i="8" s="1"/>
  <c r="D22" i="8"/>
  <c r="F22" i="8" s="1"/>
  <c r="W22" i="8" s="1"/>
  <c r="AC22" i="8" s="1"/>
  <c r="D21" i="8"/>
  <c r="F21" i="8" s="1"/>
  <c r="W21" i="8" s="1"/>
  <c r="AC21" i="8" s="1"/>
  <c r="D20" i="8"/>
  <c r="F20" i="8" s="1"/>
  <c r="W20" i="8" s="1"/>
  <c r="AC20" i="8" s="1"/>
  <c r="D19" i="8"/>
  <c r="F19" i="8" s="1"/>
  <c r="W19" i="8" s="1"/>
  <c r="AC19" i="8" s="1"/>
  <c r="D18" i="8"/>
  <c r="F18" i="8" s="1"/>
  <c r="W18" i="8" s="1"/>
  <c r="AC18" i="8" s="1"/>
  <c r="D17" i="8"/>
  <c r="F17" i="8" s="1"/>
  <c r="W17" i="8" s="1"/>
  <c r="AC17" i="8" s="1"/>
  <c r="D16" i="8"/>
  <c r="D33" i="8" s="1"/>
  <c r="D39" i="8" s="1"/>
  <c r="F15" i="8"/>
  <c r="W15" i="8" s="1"/>
  <c r="AC15" i="8" s="1"/>
  <c r="D15" i="8"/>
  <c r="F14" i="8"/>
  <c r="W14" i="8" s="1"/>
  <c r="AC14" i="8" s="1"/>
  <c r="D14" i="8"/>
  <c r="D13" i="8"/>
  <c r="F13" i="8" s="1"/>
  <c r="W13" i="8" s="1"/>
  <c r="AC13" i="8" s="1"/>
  <c r="F12" i="8"/>
  <c r="W12" i="8" s="1"/>
  <c r="AC12" i="8" s="1"/>
  <c r="D12" i="8"/>
  <c r="F11" i="8"/>
  <c r="W11" i="8" s="1"/>
  <c r="AC11" i="8" s="1"/>
  <c r="D11" i="8"/>
  <c r="D10" i="8"/>
  <c r="F10" i="8" s="1"/>
  <c r="D38" i="6"/>
  <c r="D36" i="6"/>
  <c r="F36" i="6" s="1"/>
  <c r="AC35" i="6"/>
  <c r="D34" i="6"/>
  <c r="D31" i="6"/>
  <c r="F31" i="6" s="1"/>
  <c r="D30" i="6"/>
  <c r="F30" i="6" s="1"/>
  <c r="D28" i="6"/>
  <c r="F28" i="6" s="1"/>
  <c r="D27" i="6"/>
  <c r="F27" i="6" s="1"/>
  <c r="D26" i="6"/>
  <c r="F26" i="6" s="1"/>
  <c r="D25" i="6"/>
  <c r="F25" i="6" s="1"/>
  <c r="D24" i="6"/>
  <c r="F24" i="6" s="1"/>
  <c r="D22" i="6"/>
  <c r="F22" i="6" s="1"/>
  <c r="D20" i="6"/>
  <c r="F20" i="6" s="1"/>
  <c r="W20" i="6" s="1"/>
  <c r="AC20" i="6" s="1"/>
  <c r="D19" i="6"/>
  <c r="F19" i="6" s="1"/>
  <c r="D17" i="6"/>
  <c r="F17" i="6" s="1"/>
  <c r="D16" i="6"/>
  <c r="F16" i="6" s="1"/>
  <c r="D15" i="6"/>
  <c r="D13" i="6"/>
  <c r="D11" i="6"/>
  <c r="F11" i="6" s="1"/>
  <c r="D10" i="6"/>
  <c r="E52" i="4"/>
  <c r="E55" i="4" s="1"/>
  <c r="Y39" i="4"/>
  <c r="V39" i="4"/>
  <c r="U39" i="4"/>
  <c r="T39" i="4"/>
  <c r="S39" i="4"/>
  <c r="R39" i="4"/>
  <c r="Q39" i="4"/>
  <c r="P39" i="4"/>
  <c r="E39" i="4"/>
  <c r="C39" i="4"/>
  <c r="B39" i="4"/>
  <c r="D38" i="4"/>
  <c r="F38" i="4" s="1"/>
  <c r="W38" i="4" s="1"/>
  <c r="AC38" i="4" s="1"/>
  <c r="F37" i="4"/>
  <c r="W37" i="4" s="1"/>
  <c r="AC37" i="4" s="1"/>
  <c r="D37" i="4"/>
  <c r="AA36" i="4"/>
  <c r="Y36" i="4"/>
  <c r="D36" i="4"/>
  <c r="F36" i="4" s="1"/>
  <c r="W36" i="4" s="1"/>
  <c r="AC36" i="4" s="1"/>
  <c r="AC35" i="4"/>
  <c r="D35" i="4"/>
  <c r="F35" i="4" s="1"/>
  <c r="F34" i="4"/>
  <c r="W34" i="4" s="1"/>
  <c r="AC34" i="4" s="1"/>
  <c r="D34" i="4"/>
  <c r="AA33" i="4"/>
  <c r="Y33" i="4"/>
  <c r="V33" i="4"/>
  <c r="U33" i="4"/>
  <c r="T33" i="4"/>
  <c r="S33" i="4"/>
  <c r="R33" i="4"/>
  <c r="Q33" i="4"/>
  <c r="P33" i="4"/>
  <c r="O33" i="4"/>
  <c r="O39" i="4" s="1"/>
  <c r="N33" i="4"/>
  <c r="N39" i="4" s="1"/>
  <c r="M33" i="4"/>
  <c r="M39" i="4" s="1"/>
  <c r="L33" i="4"/>
  <c r="L39" i="4" s="1"/>
  <c r="K33" i="4"/>
  <c r="K39" i="4" s="1"/>
  <c r="J33" i="4"/>
  <c r="J39" i="4" s="1"/>
  <c r="I33" i="4"/>
  <c r="I39" i="4" s="1"/>
  <c r="H33" i="4"/>
  <c r="H39" i="4" s="1"/>
  <c r="G33" i="4"/>
  <c r="G39" i="4" s="1"/>
  <c r="E33" i="4"/>
  <c r="C33" i="4"/>
  <c r="B33" i="4"/>
  <c r="D32" i="4"/>
  <c r="F32" i="4" s="1"/>
  <c r="W32" i="4" s="1"/>
  <c r="AC32" i="4" s="1"/>
  <c r="D31" i="4"/>
  <c r="F31" i="4" s="1"/>
  <c r="W31" i="4" s="1"/>
  <c r="AC31" i="4" s="1"/>
  <c r="D30" i="4"/>
  <c r="F30" i="4" s="1"/>
  <c r="W30" i="4" s="1"/>
  <c r="AC30" i="4" s="1"/>
  <c r="D29" i="4"/>
  <c r="F29" i="4" s="1"/>
  <c r="W29" i="4" s="1"/>
  <c r="AC29" i="4" s="1"/>
  <c r="D28" i="4"/>
  <c r="F28" i="4" s="1"/>
  <c r="W28" i="4" s="1"/>
  <c r="AC28" i="4" s="1"/>
  <c r="D27" i="4"/>
  <c r="F27" i="4" s="1"/>
  <c r="W27" i="4" s="1"/>
  <c r="AC27" i="4" s="1"/>
  <c r="D26" i="4"/>
  <c r="F26" i="4" s="1"/>
  <c r="W26" i="4" s="1"/>
  <c r="AC26" i="4" s="1"/>
  <c r="D25" i="4"/>
  <c r="F25" i="4" s="1"/>
  <c r="W25" i="4" s="1"/>
  <c r="AC25" i="4" s="1"/>
  <c r="D24" i="4"/>
  <c r="F24" i="4" s="1"/>
  <c r="W24" i="4" s="1"/>
  <c r="AC24" i="4" s="1"/>
  <c r="D23" i="4"/>
  <c r="F23" i="4" s="1"/>
  <c r="W23" i="4" s="1"/>
  <c r="AC23" i="4" s="1"/>
  <c r="F22" i="4"/>
  <c r="W22" i="4" s="1"/>
  <c r="AC22" i="4" s="1"/>
  <c r="D22" i="4"/>
  <c r="D21" i="4"/>
  <c r="F21" i="4" s="1"/>
  <c r="W21" i="4" s="1"/>
  <c r="AC21" i="4" s="1"/>
  <c r="D20" i="4"/>
  <c r="F20" i="4" s="1"/>
  <c r="W20" i="4" s="1"/>
  <c r="AC20" i="4" s="1"/>
  <c r="D19" i="4"/>
  <c r="F19" i="4" s="1"/>
  <c r="W19" i="4" s="1"/>
  <c r="AC19" i="4" s="1"/>
  <c r="D18" i="4"/>
  <c r="F18" i="4" s="1"/>
  <c r="W18" i="4" s="1"/>
  <c r="AC18" i="4" s="1"/>
  <c r="D17" i="4"/>
  <c r="F17" i="4" s="1"/>
  <c r="W17" i="4" s="1"/>
  <c r="AC17" i="4" s="1"/>
  <c r="D16" i="4"/>
  <c r="F16" i="4" s="1"/>
  <c r="W16" i="4" s="1"/>
  <c r="AC16" i="4" s="1"/>
  <c r="D15" i="4"/>
  <c r="F15" i="4" s="1"/>
  <c r="W15" i="4" s="1"/>
  <c r="AC15" i="4" s="1"/>
  <c r="D14" i="4"/>
  <c r="F14" i="4" s="1"/>
  <c r="W14" i="4" s="1"/>
  <c r="AC14" i="4" s="1"/>
  <c r="F13" i="4"/>
  <c r="W13" i="4" s="1"/>
  <c r="AC13" i="4" s="1"/>
  <c r="D13" i="4"/>
  <c r="D12" i="4"/>
  <c r="F12" i="4" s="1"/>
  <c r="W12" i="4" s="1"/>
  <c r="AC12" i="4" s="1"/>
  <c r="D11" i="4"/>
  <c r="F11" i="4" s="1"/>
  <c r="W11" i="4" s="1"/>
  <c r="AC11" i="4" s="1"/>
  <c r="D10" i="4"/>
  <c r="D33" i="4" s="1"/>
  <c r="D39" i="4" s="1"/>
  <c r="E52" i="2"/>
  <c r="E55" i="2" s="1"/>
  <c r="V39" i="2"/>
  <c r="U39" i="2"/>
  <c r="T39" i="2"/>
  <c r="S39" i="2"/>
  <c r="R39" i="2"/>
  <c r="Q39" i="2"/>
  <c r="P39" i="2"/>
  <c r="E39" i="2"/>
  <c r="C39" i="2"/>
  <c r="B39" i="2"/>
  <c r="D38" i="2"/>
  <c r="F38" i="2" s="1"/>
  <c r="W38" i="2" s="1"/>
  <c r="AC38" i="2" s="1"/>
  <c r="D37" i="2"/>
  <c r="F37" i="2" s="1"/>
  <c r="W37" i="2" s="1"/>
  <c r="AC37" i="2" s="1"/>
  <c r="AA36" i="2"/>
  <c r="D36" i="2"/>
  <c r="F36" i="2" s="1"/>
  <c r="W36" i="2" s="1"/>
  <c r="AC36" i="2" s="1"/>
  <c r="AC35" i="2"/>
  <c r="D35" i="2"/>
  <c r="F35" i="2" s="1"/>
  <c r="F34" i="2"/>
  <c r="W34" i="2" s="1"/>
  <c r="AC34" i="2" s="1"/>
  <c r="D34" i="2"/>
  <c r="AA33" i="2"/>
  <c r="Y33" i="2"/>
  <c r="Y36" i="2" s="1"/>
  <c r="Y39" i="2" s="1"/>
  <c r="V33" i="2"/>
  <c r="U33" i="2"/>
  <c r="T33" i="2"/>
  <c r="S33" i="2"/>
  <c r="R33" i="2"/>
  <c r="Q33" i="2"/>
  <c r="P33" i="2"/>
  <c r="O33" i="2"/>
  <c r="O39" i="2" s="1"/>
  <c r="N33" i="2"/>
  <c r="N39" i="2" s="1"/>
  <c r="M33" i="2"/>
  <c r="M39" i="2" s="1"/>
  <c r="L33" i="2"/>
  <c r="L39" i="2" s="1"/>
  <c r="K33" i="2"/>
  <c r="K39" i="2" s="1"/>
  <c r="J33" i="2"/>
  <c r="J39" i="2" s="1"/>
  <c r="I33" i="2"/>
  <c r="I39" i="2" s="1"/>
  <c r="H33" i="2"/>
  <c r="H39" i="2" s="1"/>
  <c r="G33" i="2"/>
  <c r="G39" i="2" s="1"/>
  <c r="E33" i="2"/>
  <c r="C33" i="2"/>
  <c r="B33" i="2"/>
  <c r="D32" i="2"/>
  <c r="F32" i="2" s="1"/>
  <c r="W32" i="2" s="1"/>
  <c r="AC32" i="2" s="1"/>
  <c r="D31" i="2"/>
  <c r="F31" i="2" s="1"/>
  <c r="W31" i="2" s="1"/>
  <c r="AC31" i="2" s="1"/>
  <c r="D30" i="2"/>
  <c r="F30" i="2" s="1"/>
  <c r="W30" i="2" s="1"/>
  <c r="AC30" i="2" s="1"/>
  <c r="D29" i="2"/>
  <c r="F29" i="2" s="1"/>
  <c r="W29" i="2" s="1"/>
  <c r="AC29" i="2" s="1"/>
  <c r="D28" i="2"/>
  <c r="F28" i="2" s="1"/>
  <c r="W28" i="2" s="1"/>
  <c r="AC28" i="2" s="1"/>
  <c r="D27" i="2"/>
  <c r="F27" i="2" s="1"/>
  <c r="W27" i="2" s="1"/>
  <c r="AC27" i="2" s="1"/>
  <c r="D26" i="2"/>
  <c r="F26" i="2" s="1"/>
  <c r="W26" i="2" s="1"/>
  <c r="AC26" i="2" s="1"/>
  <c r="D25" i="2"/>
  <c r="F25" i="2" s="1"/>
  <c r="W25" i="2" s="1"/>
  <c r="AC25" i="2" s="1"/>
  <c r="D24" i="2"/>
  <c r="F24" i="2" s="1"/>
  <c r="W24" i="2" s="1"/>
  <c r="AC24" i="2" s="1"/>
  <c r="D23" i="2"/>
  <c r="F23" i="2" s="1"/>
  <c r="W23" i="2" s="1"/>
  <c r="AC23" i="2" s="1"/>
  <c r="F22" i="2"/>
  <c r="W22" i="2" s="1"/>
  <c r="AC22" i="2" s="1"/>
  <c r="D22" i="2"/>
  <c r="D21" i="2"/>
  <c r="F21" i="2" s="1"/>
  <c r="W21" i="2" s="1"/>
  <c r="AC21" i="2" s="1"/>
  <c r="D20" i="2"/>
  <c r="F20" i="2" s="1"/>
  <c r="W20" i="2" s="1"/>
  <c r="AC20" i="2" s="1"/>
  <c r="D19" i="2"/>
  <c r="F19" i="2" s="1"/>
  <c r="W19" i="2" s="1"/>
  <c r="AC19" i="2" s="1"/>
  <c r="D18" i="2"/>
  <c r="F18" i="2" s="1"/>
  <c r="W18" i="2" s="1"/>
  <c r="AC18" i="2" s="1"/>
  <c r="D17" i="2"/>
  <c r="F17" i="2" s="1"/>
  <c r="W17" i="2" s="1"/>
  <c r="AC17" i="2" s="1"/>
  <c r="F16" i="2"/>
  <c r="W16" i="2" s="1"/>
  <c r="AC16" i="2" s="1"/>
  <c r="D16" i="2"/>
  <c r="D15" i="2"/>
  <c r="F15" i="2" s="1"/>
  <c r="W15" i="2" s="1"/>
  <c r="AC15" i="2" s="1"/>
  <c r="D14" i="2"/>
  <c r="F14" i="2" s="1"/>
  <c r="W14" i="2" s="1"/>
  <c r="AC14" i="2" s="1"/>
  <c r="F13" i="2"/>
  <c r="W13" i="2" s="1"/>
  <c r="AC13" i="2" s="1"/>
  <c r="D13" i="2"/>
  <c r="D12" i="2"/>
  <c r="F12" i="2" s="1"/>
  <c r="W12" i="2" s="1"/>
  <c r="AC12" i="2" s="1"/>
  <c r="D11" i="2"/>
  <c r="F11" i="2" s="1"/>
  <c r="W11" i="2" s="1"/>
  <c r="AC11" i="2" s="1"/>
  <c r="D10" i="2"/>
  <c r="D33" i="2" s="1"/>
  <c r="D39" i="2" s="1"/>
  <c r="W28" i="1"/>
  <c r="AC28" i="1"/>
  <c r="AA33" i="1"/>
  <c r="AA36" i="1"/>
  <c r="S33" i="1"/>
  <c r="S39" i="1"/>
  <c r="I33" i="1"/>
  <c r="I39" i="1"/>
  <c r="H33" i="1"/>
  <c r="H39" i="1"/>
  <c r="G33" i="1"/>
  <c r="G39" i="1"/>
  <c r="W36" i="1"/>
  <c r="L33" i="1"/>
  <c r="L39" i="1"/>
  <c r="Y33" i="1"/>
  <c r="V33" i="1"/>
  <c r="V39" i="1"/>
  <c r="T33" i="1"/>
  <c r="T39" i="1"/>
  <c r="R33" i="1"/>
  <c r="Q33" i="1"/>
  <c r="Q39" i="1"/>
  <c r="P33" i="1"/>
  <c r="P39" i="1"/>
  <c r="O33" i="1"/>
  <c r="O39" i="1"/>
  <c r="N33" i="1"/>
  <c r="N39" i="1"/>
  <c r="M33" i="1"/>
  <c r="M39" i="1"/>
  <c r="K33" i="1"/>
  <c r="K39" i="1"/>
  <c r="J33" i="1"/>
  <c r="J39" i="1"/>
  <c r="D38" i="1"/>
  <c r="F38" i="1"/>
  <c r="W38" i="1"/>
  <c r="AC38" i="1"/>
  <c r="D37" i="1"/>
  <c r="F37" i="1"/>
  <c r="W37" i="1"/>
  <c r="AC37" i="1"/>
  <c r="D36" i="1"/>
  <c r="D35" i="1"/>
  <c r="F35" i="1"/>
  <c r="D34" i="1"/>
  <c r="F34" i="1"/>
  <c r="W34" i="1"/>
  <c r="AC34" i="1"/>
  <c r="D32" i="1"/>
  <c r="D31" i="1"/>
  <c r="F31" i="1"/>
  <c r="W31" i="1"/>
  <c r="AC31" i="1"/>
  <c r="D30" i="1"/>
  <c r="F30" i="1"/>
  <c r="W30" i="1"/>
  <c r="AC30" i="1"/>
  <c r="D29" i="1"/>
  <c r="F29" i="1"/>
  <c r="W29" i="1"/>
  <c r="AC29" i="1"/>
  <c r="D28" i="1"/>
  <c r="F28" i="1"/>
  <c r="D27" i="1"/>
  <c r="F27" i="1"/>
  <c r="W27" i="1"/>
  <c r="AC27" i="1"/>
  <c r="D26" i="1"/>
  <c r="F26" i="1"/>
  <c r="W26" i="1"/>
  <c r="AC26" i="1"/>
  <c r="D25" i="1"/>
  <c r="F25" i="1"/>
  <c r="W25" i="1"/>
  <c r="AC25" i="1"/>
  <c r="D24" i="1"/>
  <c r="F24" i="1"/>
  <c r="W24" i="1"/>
  <c r="AC24" i="1"/>
  <c r="D22" i="1"/>
  <c r="F22" i="1"/>
  <c r="W22" i="1"/>
  <c r="AC22" i="1"/>
  <c r="D21" i="1"/>
  <c r="D20" i="1"/>
  <c r="D19" i="1"/>
  <c r="D17" i="1"/>
  <c r="F17" i="1"/>
  <c r="W17" i="1"/>
  <c r="AC17" i="1"/>
  <c r="D16" i="1"/>
  <c r="D15" i="1"/>
  <c r="F15" i="1"/>
  <c r="W15" i="1"/>
  <c r="AC15" i="1"/>
  <c r="D14" i="1"/>
  <c r="F14" i="1"/>
  <c r="W14" i="1"/>
  <c r="AC14" i="1"/>
  <c r="D13" i="1"/>
  <c r="F13" i="1"/>
  <c r="W13" i="1"/>
  <c r="AC13" i="1"/>
  <c r="D12" i="1"/>
  <c r="F12" i="1"/>
  <c r="W12" i="1"/>
  <c r="AC12" i="1"/>
  <c r="C33" i="1"/>
  <c r="C39" i="1"/>
  <c r="D11" i="1"/>
  <c r="F11" i="1"/>
  <c r="W11" i="1"/>
  <c r="AC11" i="1"/>
  <c r="F23" i="1"/>
  <c r="W23" i="1"/>
  <c r="AC23" i="1"/>
  <c r="F21" i="1"/>
  <c r="W21" i="1"/>
  <c r="AC21" i="1"/>
  <c r="F20" i="1"/>
  <c r="W20" i="1"/>
  <c r="AC20" i="1"/>
  <c r="F19" i="1"/>
  <c r="W19" i="1"/>
  <c r="AC19" i="1"/>
  <c r="F16" i="1"/>
  <c r="W16" i="1"/>
  <c r="AC16" i="1"/>
  <c r="E33" i="1"/>
  <c r="E39" i="1"/>
  <c r="D10" i="1"/>
  <c r="D23" i="1"/>
  <c r="D18" i="1"/>
  <c r="F18" i="1"/>
  <c r="W18" i="1"/>
  <c r="AC18" i="1"/>
  <c r="AC35" i="1"/>
  <c r="U33" i="1"/>
  <c r="U39" i="1"/>
  <c r="F36" i="1"/>
  <c r="F32" i="1"/>
  <c r="W32" i="1"/>
  <c r="AC32" i="1"/>
  <c r="AC36" i="1"/>
  <c r="F10" i="1"/>
  <c r="D33" i="1"/>
  <c r="R39" i="1"/>
  <c r="Y36" i="1"/>
  <c r="Y39" i="1"/>
  <c r="E52" i="1"/>
  <c r="B33" i="1"/>
  <c r="B39" i="1"/>
  <c r="E55" i="1"/>
  <c r="D39" i="1"/>
  <c r="W10" i="1"/>
  <c r="F33" i="1"/>
  <c r="F39" i="1"/>
  <c r="AC10" i="1"/>
  <c r="W33" i="1"/>
  <c r="W39" i="1"/>
  <c r="AC33" i="1"/>
  <c r="AC39" i="1"/>
  <c r="AC10" i="19" l="1"/>
  <c r="AC33" i="19" s="1"/>
  <c r="AC39" i="19" s="1"/>
  <c r="W33" i="19"/>
  <c r="W33" i="18"/>
  <c r="W39" i="18" s="1"/>
  <c r="AC10" i="18"/>
  <c r="W33" i="16"/>
  <c r="W39" i="16" s="1"/>
  <c r="AC10" i="16"/>
  <c r="W33" i="13"/>
  <c r="W39" i="13" s="1"/>
  <c r="AC10" i="13"/>
  <c r="AC33" i="13" s="1"/>
  <c r="AC39" i="13" s="1"/>
  <c r="W33" i="12"/>
  <c r="W39" i="12" s="1"/>
  <c r="AC10" i="12"/>
  <c r="AC36" i="10"/>
  <c r="F10" i="10"/>
  <c r="F33" i="8"/>
  <c r="F39" i="8" s="1"/>
  <c r="W10" i="8"/>
  <c r="AC36" i="8"/>
  <c r="F16" i="8"/>
  <c r="W16" i="8" s="1"/>
  <c r="AC16" i="8" s="1"/>
  <c r="Y39" i="8"/>
  <c r="W25" i="6"/>
  <c r="AC25" i="6" s="1"/>
  <c r="F34" i="6"/>
  <c r="D32" i="6"/>
  <c r="F32" i="6" s="1"/>
  <c r="W32" i="6" s="1"/>
  <c r="AC32" i="6" s="1"/>
  <c r="W31" i="6"/>
  <c r="AC31" i="6" s="1"/>
  <c r="O33" i="6"/>
  <c r="O39" i="6" s="1"/>
  <c r="F38" i="6"/>
  <c r="W38" i="6" s="1"/>
  <c r="AC38" i="6" s="1"/>
  <c r="D14" i="6"/>
  <c r="F14" i="6" s="1"/>
  <c r="W14" i="6" s="1"/>
  <c r="AC14" i="6" s="1"/>
  <c r="W22" i="6"/>
  <c r="AC22" i="6" s="1"/>
  <c r="W30" i="6"/>
  <c r="AC30" i="6" s="1"/>
  <c r="F13" i="6"/>
  <c r="W13" i="6" s="1"/>
  <c r="AC13" i="6" s="1"/>
  <c r="D29" i="6"/>
  <c r="F29" i="6" s="1"/>
  <c r="W29" i="6" s="1"/>
  <c r="AC29" i="6" s="1"/>
  <c r="D37" i="6"/>
  <c r="F37" i="6" s="1"/>
  <c r="Y33" i="6"/>
  <c r="Y36" i="6" s="1"/>
  <c r="AC36" i="6" s="1"/>
  <c r="AA33" i="6"/>
  <c r="AA36" i="6" s="1"/>
  <c r="S33" i="6"/>
  <c r="S39" i="6" s="1"/>
  <c r="T33" i="6"/>
  <c r="T39" i="6" s="1"/>
  <c r="U33" i="6"/>
  <c r="U39" i="6" s="1"/>
  <c r="B33" i="6"/>
  <c r="B39" i="6" s="1"/>
  <c r="C33" i="6"/>
  <c r="C39" i="6" s="1"/>
  <c r="D21" i="6"/>
  <c r="F21" i="6" s="1"/>
  <c r="W21" i="6" s="1"/>
  <c r="AC21" i="6" s="1"/>
  <c r="W37" i="6"/>
  <c r="AC37" i="6" s="1"/>
  <c r="V33" i="6"/>
  <c r="V39" i="6" s="1"/>
  <c r="W11" i="6"/>
  <c r="AC11" i="6" s="1"/>
  <c r="W28" i="6"/>
  <c r="AC28" i="6" s="1"/>
  <c r="W19" i="6"/>
  <c r="AC19" i="6" s="1"/>
  <c r="W27" i="6"/>
  <c r="AC27" i="6" s="1"/>
  <c r="R33" i="6"/>
  <c r="R39" i="6" s="1"/>
  <c r="W34" i="6"/>
  <c r="AC34" i="6" s="1"/>
  <c r="E33" i="6"/>
  <c r="E39" i="6" s="1"/>
  <c r="G33" i="6"/>
  <c r="G39" i="6" s="1"/>
  <c r="D18" i="6"/>
  <c r="F18" i="6" s="1"/>
  <c r="W18" i="6" s="1"/>
  <c r="AC18" i="6" s="1"/>
  <c r="I33" i="6"/>
  <c r="I39" i="6" s="1"/>
  <c r="W17" i="6"/>
  <c r="AC17" i="6" s="1"/>
  <c r="H33" i="6"/>
  <c r="H39" i="6" s="1"/>
  <c r="J33" i="6"/>
  <c r="J39" i="6" s="1"/>
  <c r="K33" i="6"/>
  <c r="K39" i="6" s="1"/>
  <c r="W36" i="6"/>
  <c r="L33" i="6"/>
  <c r="L39" i="6" s="1"/>
  <c r="M33" i="6"/>
  <c r="M39" i="6" s="1"/>
  <c r="W16" i="6"/>
  <c r="AC16" i="6" s="1"/>
  <c r="W24" i="6"/>
  <c r="AC24" i="6" s="1"/>
  <c r="N33" i="6"/>
  <c r="N39" i="6" s="1"/>
  <c r="Q33" i="6"/>
  <c r="Q39" i="6" s="1"/>
  <c r="F15" i="6"/>
  <c r="W15" i="6" s="1"/>
  <c r="AC15" i="6" s="1"/>
  <c r="W26" i="6"/>
  <c r="AC26" i="6" s="1"/>
  <c r="D23" i="6"/>
  <c r="F23" i="6" s="1"/>
  <c r="W23" i="6" s="1"/>
  <c r="AC23" i="6" s="1"/>
  <c r="P33" i="6"/>
  <c r="P39" i="6" s="1"/>
  <c r="D35" i="6"/>
  <c r="F35" i="6" s="1"/>
  <c r="F10" i="6"/>
  <c r="D12" i="6"/>
  <c r="F12" i="6" s="1"/>
  <c r="W12" i="6" s="1"/>
  <c r="AC12" i="6" s="1"/>
  <c r="F10" i="4"/>
  <c r="F10" i="2"/>
  <c r="W39" i="19" l="1"/>
  <c r="AC33" i="18"/>
  <c r="AC33" i="16"/>
  <c r="AC33" i="12"/>
  <c r="W10" i="10"/>
  <c r="F33" i="10"/>
  <c r="F39" i="10" s="1"/>
  <c r="W33" i="8"/>
  <c r="W39" i="8" s="1"/>
  <c r="AC10" i="8"/>
  <c r="Y39" i="6"/>
  <c r="D33" i="6"/>
  <c r="D39" i="6" s="1"/>
  <c r="F33" i="6"/>
  <c r="F39" i="6" s="1"/>
  <c r="W10" i="6"/>
  <c r="F33" i="4"/>
  <c r="F39" i="4" s="1"/>
  <c r="W10" i="4"/>
  <c r="F33" i="2"/>
  <c r="F39" i="2" s="1"/>
  <c r="W10" i="2"/>
  <c r="AC39" i="18" l="1"/>
  <c r="AC39" i="16"/>
  <c r="AC39" i="12"/>
  <c r="AC10" i="10"/>
  <c r="W33" i="10"/>
  <c r="W39" i="10" s="1"/>
  <c r="AC33" i="8"/>
  <c r="E52" i="6"/>
  <c r="E55" i="6" s="1"/>
  <c r="AC10" i="6"/>
  <c r="W33" i="6"/>
  <c r="W39" i="6" s="1"/>
  <c r="AC10" i="4"/>
  <c r="W33" i="4"/>
  <c r="W39" i="4" s="1"/>
  <c r="AC10" i="2"/>
  <c r="W33" i="2"/>
  <c r="W39" i="2" s="1"/>
  <c r="AC33" i="10" l="1"/>
  <c r="AC39" i="8"/>
  <c r="AC33" i="6"/>
  <c r="AC33" i="4"/>
  <c r="AC33" i="2"/>
  <c r="AC39" i="10" l="1"/>
  <c r="AC39" i="6"/>
  <c r="AC39" i="4"/>
  <c r="AC39" i="2"/>
</calcChain>
</file>

<file path=xl/sharedStrings.xml><?xml version="1.0" encoding="utf-8"?>
<sst xmlns="http://schemas.openxmlformats.org/spreadsheetml/2006/main" count="1209" uniqueCount="118">
  <si>
    <t>C.F.I.</t>
  </si>
  <si>
    <t>I.V.A.</t>
  </si>
  <si>
    <t>L E Y    Nº  2 4 . 0 6 5</t>
  </si>
  <si>
    <t>Art. 5</t>
  </si>
  <si>
    <t>F.E.D.E.I.</t>
  </si>
  <si>
    <t>FO.NA.VI.</t>
  </si>
  <si>
    <t>Nº 24.049</t>
  </si>
  <si>
    <t>Nº 24.699</t>
  </si>
  <si>
    <t>Art. 30</t>
  </si>
  <si>
    <t>Punto 2</t>
  </si>
  <si>
    <t>PLANILLA N° 1.1</t>
  </si>
  <si>
    <t>C.A.B.A</t>
  </si>
  <si>
    <t>FUENTE:</t>
  </si>
  <si>
    <t>(2)</t>
  </si>
  <si>
    <t xml:space="preserve">B.N.A. S.I.D.I.F.  </t>
  </si>
  <si>
    <t>(1)</t>
  </si>
  <si>
    <t xml:space="preserve">Compensación </t>
  </si>
  <si>
    <t xml:space="preserve">Consenso Fiscal </t>
  </si>
  <si>
    <t xml:space="preserve">II. a y b; II. d y e </t>
  </si>
  <si>
    <t xml:space="preserve">(1) + (2) </t>
  </si>
  <si>
    <t>Provincias</t>
  </si>
  <si>
    <t>Ley Nº 26.075</t>
  </si>
  <si>
    <t>Financ.</t>
  </si>
  <si>
    <t>Educativo</t>
  </si>
  <si>
    <t>Subtotal</t>
  </si>
  <si>
    <t xml:space="preserve">Transfer. </t>
  </si>
  <si>
    <t>De Servicios</t>
  </si>
  <si>
    <t>Ley</t>
  </si>
  <si>
    <t xml:space="preserve">Impuesto sobre los </t>
  </si>
  <si>
    <t>Bienes Personales</t>
  </si>
  <si>
    <t>Ley Nº 23.966</t>
  </si>
  <si>
    <t>Impuesto s/</t>
  </si>
  <si>
    <t>Los Activos</t>
  </si>
  <si>
    <t>Fdo. Educ.</t>
  </si>
  <si>
    <t>Ley Nº 23.906</t>
  </si>
  <si>
    <t>Impuesto a los Combustibles Líquidos</t>
  </si>
  <si>
    <t>Ley Nº 23.966 y Nº 24.699</t>
  </si>
  <si>
    <t>Infraestr.</t>
  </si>
  <si>
    <t>Obras de</t>
  </si>
  <si>
    <t>Vialidad</t>
  </si>
  <si>
    <t>Provincial</t>
  </si>
  <si>
    <t>Ley Nº 24.464</t>
  </si>
  <si>
    <t>Régimen de la Energía Eléctrica</t>
  </si>
  <si>
    <t>Fdo. P/Comp.</t>
  </si>
  <si>
    <t>Tarifa Elect.</t>
  </si>
  <si>
    <t>Fondo</t>
  </si>
  <si>
    <t>Compens.</t>
  </si>
  <si>
    <t xml:space="preserve">de </t>
  </si>
  <si>
    <t>Desequilib.</t>
  </si>
  <si>
    <t>Reg.Simplif.</t>
  </si>
  <si>
    <t>P/Peq.Contrib.</t>
  </si>
  <si>
    <t>Ley Nº 24.977</t>
  </si>
  <si>
    <t>Aart. 59 Inc. A</t>
  </si>
  <si>
    <t>Total</t>
  </si>
  <si>
    <t>Recursos</t>
  </si>
  <si>
    <t xml:space="preserve"> Origen Nacional</t>
  </si>
  <si>
    <t>Fdo.Compensador</t>
  </si>
  <si>
    <t>Tesoro Nacional (*)</t>
  </si>
  <si>
    <t>Seguridad Social</t>
  </si>
  <si>
    <t>Fondo A.T.N.</t>
  </si>
  <si>
    <t>Total (**)</t>
  </si>
  <si>
    <t xml:space="preserve"> Impuesto a las Ganancias</t>
  </si>
  <si>
    <t xml:space="preserve"> Impuesto al Valor Agregado</t>
  </si>
  <si>
    <t xml:space="preserve"> Int.Pag. Y Costo Fciero.</t>
  </si>
  <si>
    <t xml:space="preserve"> Otros Coparticipados</t>
  </si>
  <si>
    <t xml:space="preserve"> Subtotal</t>
  </si>
  <si>
    <t xml:space="preserve"> Fondo Compensador</t>
  </si>
  <si>
    <t xml:space="preserve"> Impuestos Internos</t>
  </si>
  <si>
    <t xml:space="preserve"> Total</t>
  </si>
  <si>
    <t xml:space="preserve">(**) Se Incorpora El Fallo De La Csjn Por La Distribución De Los Costos De La Autarquía Afip A La Provincia De Santa Fe Y La Pampa. </t>
  </si>
  <si>
    <t>Nota:</t>
  </si>
  <si>
    <t xml:space="preserve"> (*) El Monto correspondiente al Tesoro Nacional se encuentra neto de la transferencia a la C.A.B.A. en concepto de Coparticipación Fiscal.</t>
  </si>
  <si>
    <t>Asimismo se debe señalar que en el monto que se consigna en Organismos Vialidad corresponde a la parte de Nación (10,4%) del Impuesto a los Combustibles prevista en La Ley N° 23.966 y modificatorias.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</si>
  <si>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</si>
  <si>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</si>
  <si>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</si>
  <si>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</si>
  <si>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</si>
  <si>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</si>
  <si>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</si>
  <si>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</si>
  <si>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</si>
  <si>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</si>
  <si>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</si>
  <si>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</si>
  <si>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</si>
  <si>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</si>
  <si>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</si>
  <si>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</si>
  <si>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</si>
  <si>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</si>
  <si>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</si>
  <si>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</si>
  <si>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Sgo. Del Estero</t>
  </si>
  <si>
    <t>Tucumán</t>
  </si>
  <si>
    <t>Tierra Del Fuego</t>
  </si>
  <si>
    <t>Neta De</t>
  </si>
  <si>
    <t xml:space="preserve"> Ganancia Mínima Presunta</t>
  </si>
  <si>
    <t xml:space="preserve"> Ajuste Autarquía Afip (**)</t>
  </si>
  <si>
    <t xml:space="preserve">Información provisoria sujeta a modificaciones </t>
  </si>
  <si>
    <t>SUBSECRETARÍA DE COORDINACIÓN FISCAL PROVINCIAL</t>
  </si>
  <si>
    <t>(***) Los Regímenes de Energía  Eléctrica incluyen el financiamiento de los gastos de funcionamiento del Consejo Federal de la Energía Eléctrica, Resolución C.E. Nro. 628  y Resolución C.E. Nro. 1735.</t>
  </si>
  <si>
    <t>Última actualización: 30/01/2026</t>
  </si>
  <si>
    <t xml:space="preserve">(**) Se incorpora el Fallo de la CSJN por la distribución de los costos de la Autarquía AFIP a la Provincia de Santa Fe y La Pampa. </t>
  </si>
  <si>
    <t>Última actualización: 27/02/2026</t>
  </si>
  <si>
    <t>Última actualización: 31/03/2026</t>
  </si>
  <si>
    <t>Última actualización: 30/04/2026</t>
  </si>
  <si>
    <t xml:space="preserve">(**) Se incorpora el Fallo de La CSJN por la distribución de los costos de la Autarquía AFIP a La Provincia de Santa Fe y La Pampa. </t>
  </si>
  <si>
    <t>Última actualización: 29/05/2026</t>
  </si>
  <si>
    <t>Última actualización: 30/06/2026</t>
  </si>
  <si>
    <t>Última actualización: 31/07/2026</t>
  </si>
  <si>
    <t>Última actualización: 31/08/2026</t>
  </si>
  <si>
    <t>NOTA:</t>
  </si>
  <si>
    <t xml:space="preserve">(**) Se Incorpora el Fallo de la CSJN por la distribución de los costos de la autarquía AFIP a la Provincia de Santa Fe y La Pampa. </t>
  </si>
  <si>
    <t>(***) Los Regímenes de Energía Eléctrica incluyen el financiamiento de los gastos de funcionamiento del Consejo Federal de la Energía Eléctrica, Resolución C.E. Nro.628  y Resolución C.E. Nro. 1625 y modificatoria Nro. 1735.</t>
  </si>
  <si>
    <t>Información provisoria sujeta a modificaciones</t>
  </si>
  <si>
    <t>Última actualización: 30/09/2026</t>
  </si>
  <si>
    <t>Última actualización: 30/10/2026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</si>
</sst>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P_t_s_-;\-* #,##0.00\ _P_t_s_-;_-* &quot;-&quot;??\ _P_t_s_-;_-@_-"/>
    <numFmt numFmtId="165" formatCode="0.0_)"/>
    <numFmt numFmtId="166" formatCode="#,##0.0"/>
  </numFmts>
  <fonts count="14" x14ac:knownFonts="1">
    <font>
      <sz val="12"/>
      <name val="Courier"/>
    </font>
    <font>
      <sz val="10"/>
      <name val="Arial"/>
      <family val="2"/>
    </font>
    <font>
      <b/>
      <sz val="11"/>
      <name val="Roboto"/>
    </font>
    <font>
      <b/>
      <sz val="10"/>
      <name val="Roboto"/>
    </font>
    <font>
      <sz val="12"/>
      <name val="Roboto"/>
    </font>
    <font>
      <sz val="10"/>
      <name val="Roboto"/>
    </font>
    <font>
      <i/>
      <sz val="10"/>
      <name val="Roboto"/>
    </font>
    <font>
      <sz val="9"/>
      <name val="Roboto"/>
    </font>
    <font>
      <b/>
      <sz val="10.5"/>
      <name val="Roboto"/>
    </font>
    <font>
      <b/>
      <sz val="10"/>
      <color theme="0" tint="-0.14999847407452621"/>
      <name val="Roboto"/>
    </font>
    <font>
      <b/>
      <sz val="10.5"/>
      <color theme="0" tint="-0.14999847407452621"/>
      <name val="Roboto"/>
    </font>
    <font>
      <sz val="10.5"/>
      <color theme="0" tint="-0.14999847407452621"/>
      <name val="Roboto"/>
    </font>
    <font>
      <sz val="8"/>
      <name val="Roboto"/>
    </font>
    <font>
      <sz val="10.5"/>
      <name val="Roboto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2C4F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rgb="FF232C4F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</borders>
  <cellStyleXfs count="4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6">
    <xf numFmtId="165" fontId="0" fillId="0" borderId="0" xfId="0"/>
    <xf numFmtId="0" fontId="2" fillId="0" borderId="0" xfId="2" applyFont="1" applyAlignment="1">
      <alignment horizontal="right" vertical="top"/>
    </xf>
    <xf numFmtId="166" fontId="5" fillId="2" borderId="14" xfId="2" applyNumberFormat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166" fontId="3" fillId="0" borderId="0" xfId="2" applyNumberFormat="1" applyFont="1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0" xfId="2" applyFont="1" applyAlignment="1">
      <alignment horizontal="centerContinuous" wrapText="1"/>
    </xf>
    <xf numFmtId="0" fontId="5" fillId="0" borderId="0" xfId="2" applyFont="1" applyAlignment="1">
      <alignment horizontal="centerContinuous"/>
    </xf>
    <xf numFmtId="0" fontId="5" fillId="0" borderId="0" xfId="2" applyFont="1" applyAlignment="1">
      <alignment horizontal="center" vertical="top"/>
    </xf>
    <xf numFmtId="0" fontId="5" fillId="0" borderId="0" xfId="2" applyFont="1"/>
    <xf numFmtId="0" fontId="3" fillId="0" borderId="0" xfId="2" applyFont="1" applyAlignment="1">
      <alignment horizontal="right" vertical="top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centerContinuous"/>
    </xf>
    <xf numFmtId="0" fontId="5" fillId="0" borderId="0" xfId="2" applyFont="1" applyAlignment="1">
      <alignment horizontal="left"/>
    </xf>
    <xf numFmtId="0" fontId="3" fillId="0" borderId="0" xfId="2" applyFont="1" applyAlignment="1">
      <alignment horizontal="right" vertical="center"/>
    </xf>
    <xf numFmtId="0" fontId="5" fillId="0" borderId="1" xfId="2" applyFont="1" applyBorder="1" applyAlignment="1">
      <alignment horizontal="centerContinuous"/>
    </xf>
    <xf numFmtId="0" fontId="5" fillId="0" borderId="1" xfId="2" applyFont="1" applyBorder="1" applyAlignment="1">
      <alignment horizontal="right"/>
    </xf>
    <xf numFmtId="0" fontId="5" fillId="0" borderId="1" xfId="2" applyFont="1" applyBorder="1"/>
    <xf numFmtId="0" fontId="5" fillId="0" borderId="2" xfId="2" applyFont="1" applyBorder="1" applyAlignment="1">
      <alignment horizontal="right"/>
    </xf>
    <xf numFmtId="0" fontId="5" fillId="0" borderId="0" xfId="2" applyFont="1" applyAlignment="1">
      <alignment horizontal="right"/>
    </xf>
    <xf numFmtId="0" fontId="3" fillId="2" borderId="14" xfId="2" applyFont="1" applyFill="1" applyBorder="1"/>
    <xf numFmtId="0" fontId="5" fillId="0" borderId="0" xfId="2" applyFont="1" applyAlignment="1">
      <alignment horizontal="center" vertical="center"/>
    </xf>
    <xf numFmtId="0" fontId="3" fillId="2" borderId="16" xfId="2" applyFont="1" applyFill="1" applyBorder="1"/>
    <xf numFmtId="165" fontId="5" fillId="2" borderId="17" xfId="0" applyFont="1" applyFill="1" applyBorder="1"/>
    <xf numFmtId="0" fontId="3" fillId="2" borderId="18" xfId="2" applyFont="1" applyFill="1" applyBorder="1"/>
    <xf numFmtId="165" fontId="5" fillId="2" borderId="19" xfId="0" applyFont="1" applyFill="1" applyBorder="1"/>
    <xf numFmtId="0" fontId="3" fillId="0" borderId="18" xfId="2" applyFont="1" applyBorder="1"/>
    <xf numFmtId="0" fontId="3" fillId="0" borderId="19" xfId="2" applyFont="1" applyBorder="1"/>
    <xf numFmtId="166" fontId="3" fillId="3" borderId="0" xfId="2" applyNumberFormat="1" applyFont="1" applyFill="1" applyAlignment="1">
      <alignment horizontal="right"/>
    </xf>
    <xf numFmtId="166" fontId="3" fillId="0" borderId="0" xfId="2" applyNumberFormat="1" applyFont="1" applyAlignment="1">
      <alignment horizontal="right"/>
    </xf>
    <xf numFmtId="166" fontId="3" fillId="0" borderId="0" xfId="2" applyNumberFormat="1" applyFont="1" applyAlignment="1">
      <alignment horizontal="left"/>
    </xf>
    <xf numFmtId="0" fontId="6" fillId="0" borderId="0" xfId="2" applyFont="1" applyAlignment="1">
      <alignment horizontal="right"/>
    </xf>
    <xf numFmtId="0" fontId="3" fillId="0" borderId="1" xfId="2" applyFont="1" applyBorder="1"/>
    <xf numFmtId="0" fontId="6" fillId="0" borderId="1" xfId="2" applyFont="1" applyBorder="1" applyAlignment="1">
      <alignment horizontal="left"/>
    </xf>
    <xf numFmtId="0" fontId="3" fillId="2" borderId="20" xfId="2" applyFont="1" applyFill="1" applyBorder="1"/>
    <xf numFmtId="166" fontId="5" fillId="2" borderId="20" xfId="2" applyNumberFormat="1" applyFont="1" applyFill="1" applyBorder="1" applyAlignment="1">
      <alignment horizontal="center"/>
    </xf>
    <xf numFmtId="0" fontId="7" fillId="0" borderId="0" xfId="2" applyFont="1"/>
    <xf numFmtId="166" fontId="3" fillId="2" borderId="14" xfId="2" applyNumberFormat="1" applyFont="1" applyFill="1" applyBorder="1" applyAlignment="1">
      <alignment horizontal="center"/>
    </xf>
    <xf numFmtId="166" fontId="3" fillId="0" borderId="0" xfId="2" applyNumberFormat="1" applyFont="1" applyAlignment="1">
      <alignment horizontal="center"/>
    </xf>
    <xf numFmtId="166" fontId="3" fillId="2" borderId="3" xfId="2" applyNumberFormat="1" applyFont="1" applyFill="1" applyBorder="1" applyAlignment="1">
      <alignment horizontal="center"/>
    </xf>
    <xf numFmtId="166" fontId="3" fillId="2" borderId="20" xfId="2" applyNumberFormat="1" applyFont="1" applyFill="1" applyBorder="1" applyAlignment="1">
      <alignment horizontal="center"/>
    </xf>
    <xf numFmtId="166" fontId="3" fillId="2" borderId="4" xfId="2" applyNumberFormat="1" applyFont="1" applyFill="1" applyBorder="1" applyAlignment="1">
      <alignment horizontal="center"/>
    </xf>
    <xf numFmtId="166" fontId="3" fillId="2" borderId="15" xfId="2" applyNumberFormat="1" applyFont="1" applyFill="1" applyBorder="1" applyAlignment="1">
      <alignment horizontal="center"/>
    </xf>
    <xf numFmtId="0" fontId="3" fillId="0" borderId="17" xfId="2" applyFont="1" applyBorder="1"/>
    <xf numFmtId="166" fontId="3" fillId="4" borderId="21" xfId="2" applyNumberFormat="1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166" fontId="3" fillId="0" borderId="23" xfId="2" applyNumberFormat="1" applyFont="1" applyBorder="1" applyAlignment="1">
      <alignment horizontal="center" vertical="center"/>
    </xf>
    <xf numFmtId="166" fontId="3" fillId="0" borderId="24" xfId="2" applyNumberFormat="1" applyFont="1" applyBorder="1" applyAlignment="1">
      <alignment horizontal="center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4" fontId="9" fillId="5" borderId="0" xfId="2" applyNumberFormat="1" applyFont="1" applyFill="1" applyAlignment="1">
      <alignment vertical="center"/>
    </xf>
    <xf numFmtId="4" fontId="9" fillId="6" borderId="5" xfId="2" applyNumberFormat="1" applyFont="1" applyFill="1" applyBorder="1"/>
    <xf numFmtId="0" fontId="6" fillId="0" borderId="0" xfId="2" applyFont="1"/>
    <xf numFmtId="49" fontId="10" fillId="5" borderId="25" xfId="2" applyNumberFormat="1" applyFont="1" applyFill="1" applyBorder="1" applyAlignment="1">
      <alignment horizontal="center"/>
    </xf>
    <xf numFmtId="49" fontId="10" fillId="5" borderId="26" xfId="2" applyNumberFormat="1" applyFont="1" applyFill="1" applyBorder="1" applyAlignment="1">
      <alignment horizontal="centerContinuous"/>
    </xf>
    <xf numFmtId="49" fontId="10" fillId="5" borderId="27" xfId="2" applyNumberFormat="1" applyFont="1" applyFill="1" applyBorder="1" applyAlignment="1">
      <alignment horizontal="centerContinuous"/>
    </xf>
    <xf numFmtId="49" fontId="10" fillId="5" borderId="25" xfId="2" applyNumberFormat="1" applyFont="1" applyFill="1" applyBorder="1" applyAlignment="1">
      <alignment horizontal="centerContinuous"/>
    </xf>
    <xf numFmtId="49" fontId="10" fillId="5" borderId="28" xfId="2" applyNumberFormat="1" applyFont="1" applyFill="1" applyBorder="1" applyAlignment="1">
      <alignment horizontal="centerContinuous"/>
    </xf>
    <xf numFmtId="49" fontId="10" fillId="5" borderId="29" xfId="2" applyNumberFormat="1" applyFont="1" applyFill="1" applyBorder="1" applyAlignment="1">
      <alignment horizontal="centerContinuous"/>
    </xf>
    <xf numFmtId="49" fontId="10" fillId="5" borderId="30" xfId="2" applyNumberFormat="1" applyFont="1" applyFill="1" applyBorder="1" applyAlignment="1">
      <alignment horizontal="centerContinuous"/>
    </xf>
    <xf numFmtId="9" fontId="10" fillId="5" borderId="6" xfId="3" applyFont="1" applyFill="1" applyBorder="1" applyAlignment="1">
      <alignment horizontal="center"/>
    </xf>
    <xf numFmtId="9" fontId="10" fillId="5" borderId="25" xfId="3" applyFont="1" applyFill="1" applyBorder="1" applyAlignment="1">
      <alignment horizontal="center"/>
    </xf>
    <xf numFmtId="0" fontId="8" fillId="0" borderId="0" xfId="2" applyFont="1"/>
    <xf numFmtId="49" fontId="10" fillId="5" borderId="31" xfId="2" applyNumberFormat="1" applyFont="1" applyFill="1" applyBorder="1" applyAlignment="1">
      <alignment horizontal="center"/>
    </xf>
    <xf numFmtId="49" fontId="10" fillId="5" borderId="32" xfId="2" applyNumberFormat="1" applyFont="1" applyFill="1" applyBorder="1" applyAlignment="1">
      <alignment horizontal="centerContinuous"/>
    </xf>
    <xf numFmtId="49" fontId="10" fillId="5" borderId="33" xfId="2" applyNumberFormat="1" applyFont="1" applyFill="1" applyBorder="1" applyAlignment="1">
      <alignment horizontal="centerContinuous"/>
    </xf>
    <xf numFmtId="49" fontId="10" fillId="5" borderId="31" xfId="2" applyNumberFormat="1" applyFont="1" applyFill="1" applyBorder="1" applyAlignment="1">
      <alignment horizontal="centerContinuous"/>
    </xf>
    <xf numFmtId="49" fontId="10" fillId="5" borderId="0" xfId="2" applyNumberFormat="1" applyFont="1" applyFill="1" applyAlignment="1">
      <alignment horizontal="center"/>
    </xf>
    <xf numFmtId="49" fontId="10" fillId="5" borderId="7" xfId="2" applyNumberFormat="1" applyFont="1" applyFill="1" applyBorder="1" applyAlignment="1">
      <alignment horizontal="left"/>
    </xf>
    <xf numFmtId="49" fontId="10" fillId="5" borderId="4" xfId="2" applyNumberFormat="1" applyFont="1" applyFill="1" applyBorder="1" applyAlignment="1">
      <alignment horizontal="center"/>
    </xf>
    <xf numFmtId="49" fontId="10" fillId="5" borderId="8" xfId="2" applyNumberFormat="1" applyFont="1" applyFill="1" applyBorder="1" applyAlignment="1">
      <alignment horizontal="center"/>
    </xf>
    <xf numFmtId="49" fontId="10" fillId="5" borderId="0" xfId="2" applyNumberFormat="1" applyFont="1" applyFill="1" applyAlignment="1">
      <alignment horizontal="left"/>
    </xf>
    <xf numFmtId="49" fontId="10" fillId="5" borderId="31" xfId="2" applyNumberFormat="1" applyFont="1" applyFill="1" applyBorder="1"/>
    <xf numFmtId="49" fontId="10" fillId="5" borderId="9" xfId="2" applyNumberFormat="1" applyFont="1" applyFill="1" applyBorder="1" applyAlignment="1">
      <alignment horizontal="left"/>
    </xf>
    <xf numFmtId="49" fontId="10" fillId="5" borderId="10" xfId="2" applyNumberFormat="1" applyFont="1" applyFill="1" applyBorder="1" applyAlignment="1">
      <alignment horizontal="center"/>
    </xf>
    <xf numFmtId="49" fontId="10" fillId="5" borderId="11" xfId="2" applyNumberFormat="1" applyFont="1" applyFill="1" applyBorder="1" applyAlignment="1">
      <alignment horizontal="center"/>
    </xf>
    <xf numFmtId="166" fontId="10" fillId="5" borderId="31" xfId="2" applyNumberFormat="1" applyFont="1" applyFill="1" applyBorder="1" applyAlignment="1">
      <alignment horizontal="center" vertical="center"/>
    </xf>
    <xf numFmtId="0" fontId="10" fillId="5" borderId="31" xfId="2" applyFont="1" applyFill="1" applyBorder="1" applyAlignment="1">
      <alignment horizontal="left" vertical="center"/>
    </xf>
    <xf numFmtId="166" fontId="10" fillId="5" borderId="34" xfId="2" applyNumberFormat="1" applyFont="1" applyFill="1" applyBorder="1" applyAlignment="1">
      <alignment horizontal="center" vertical="center"/>
    </xf>
    <xf numFmtId="0" fontId="10" fillId="5" borderId="34" xfId="2" applyFont="1" applyFill="1" applyBorder="1" applyAlignment="1">
      <alignment horizontal="left" vertical="center"/>
    </xf>
    <xf numFmtId="166" fontId="10" fillId="5" borderId="24" xfId="2" applyNumberFormat="1" applyFont="1" applyFill="1" applyBorder="1" applyAlignment="1">
      <alignment horizontal="center" vertical="center"/>
    </xf>
    <xf numFmtId="166" fontId="10" fillId="6" borderId="35" xfId="2" applyNumberFormat="1" applyFont="1" applyFill="1" applyBorder="1" applyAlignment="1">
      <alignment horizontal="center" vertical="center"/>
    </xf>
    <xf numFmtId="166" fontId="8" fillId="7" borderId="14" xfId="2" applyNumberFormat="1" applyFont="1" applyFill="1" applyBorder="1" applyAlignment="1">
      <alignment horizontal="center"/>
    </xf>
    <xf numFmtId="166" fontId="8" fillId="7" borderId="20" xfId="2" applyNumberFormat="1" applyFont="1" applyFill="1" applyBorder="1" applyAlignment="1">
      <alignment horizontal="center"/>
    </xf>
    <xf numFmtId="9" fontId="10" fillId="4" borderId="25" xfId="3" applyFont="1" applyFill="1" applyBorder="1" applyAlignment="1">
      <alignment horizontal="center"/>
    </xf>
    <xf numFmtId="49" fontId="10" fillId="4" borderId="31" xfId="2" applyNumberFormat="1" applyFont="1" applyFill="1" applyBorder="1" applyAlignment="1">
      <alignment horizontal="center"/>
    </xf>
    <xf numFmtId="166" fontId="10" fillId="4" borderId="31" xfId="2" applyNumberFormat="1" applyFont="1" applyFill="1" applyBorder="1" applyAlignment="1">
      <alignment horizontal="center" vertical="center"/>
    </xf>
    <xf numFmtId="166" fontId="10" fillId="4" borderId="18" xfId="2" applyNumberFormat="1" applyFont="1" applyFill="1" applyBorder="1" applyAlignment="1">
      <alignment horizontal="center" vertical="center"/>
    </xf>
    <xf numFmtId="166" fontId="10" fillId="4" borderId="10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166" fontId="3" fillId="2" borderId="12" xfId="2" applyNumberFormat="1" applyFont="1" applyFill="1" applyBorder="1" applyAlignment="1">
      <alignment horizontal="center"/>
    </xf>
    <xf numFmtId="9" fontId="3" fillId="5" borderId="4" xfId="3" applyFont="1" applyFill="1" applyBorder="1" applyAlignment="1">
      <alignment horizontal="center" wrapText="1"/>
    </xf>
    <xf numFmtId="49" fontId="3" fillId="5" borderId="10" xfId="2" applyNumberFormat="1" applyFont="1" applyFill="1" applyBorder="1" applyAlignment="1">
      <alignment horizontal="center" wrapText="1"/>
    </xf>
    <xf numFmtId="49" fontId="3" fillId="5" borderId="12" xfId="2" applyNumberFormat="1" applyFont="1" applyFill="1" applyBorder="1" applyAlignment="1">
      <alignment horizontal="center"/>
    </xf>
    <xf numFmtId="166" fontId="3" fillId="5" borderId="3" xfId="2" applyNumberFormat="1" applyFont="1" applyFill="1" applyBorder="1" applyAlignment="1">
      <alignment horizontal="center" vertical="center"/>
    </xf>
    <xf numFmtId="166" fontId="3" fillId="5" borderId="15" xfId="2" applyNumberFormat="1" applyFont="1" applyFill="1" applyBorder="1" applyAlignment="1">
      <alignment horizontal="center" vertical="center"/>
    </xf>
    <xf numFmtId="0" fontId="5" fillId="3" borderId="0" xfId="2" applyFont="1" applyFill="1"/>
    <xf numFmtId="4" fontId="5" fillId="3" borderId="0" xfId="2" applyNumberFormat="1" applyFont="1" applyFill="1"/>
    <xf numFmtId="166" fontId="5" fillId="3" borderId="0" xfId="2" applyNumberFormat="1" applyFont="1" applyFill="1"/>
    <xf numFmtId="164" fontId="5" fillId="3" borderId="0" xfId="1" applyFont="1" applyFill="1" applyBorder="1"/>
    <xf numFmtId="164" fontId="5" fillId="3" borderId="0" xfId="1" applyFont="1" applyFill="1"/>
    <xf numFmtId="0" fontId="5" fillId="3" borderId="0" xfId="2" applyFont="1" applyFill="1" applyAlignment="1">
      <alignment horizontal="center"/>
    </xf>
    <xf numFmtId="164" fontId="3" fillId="3" borderId="0" xfId="1" applyFont="1" applyFill="1" applyBorder="1"/>
    <xf numFmtId="164" fontId="3" fillId="3" borderId="0" xfId="1" applyFont="1" applyFill="1" applyBorder="1" applyAlignment="1">
      <alignment vertical="center"/>
    </xf>
    <xf numFmtId="0" fontId="5" fillId="3" borderId="0" xfId="2" applyFont="1" applyFill="1" applyAlignment="1">
      <alignment horizontal="right"/>
    </xf>
    <xf numFmtId="0" fontId="3" fillId="3" borderId="0" xfId="2" applyFont="1" applyFill="1"/>
    <xf numFmtId="0" fontId="3" fillId="3" borderId="0" xfId="2" applyFont="1" applyFill="1" applyAlignment="1">
      <alignment vertical="center"/>
    </xf>
    <xf numFmtId="0" fontId="5" fillId="0" borderId="0" xfId="2" applyFont="1" applyAlignment="1">
      <alignment horizontal="center"/>
    </xf>
    <xf numFmtId="4" fontId="5" fillId="0" borderId="0" xfId="2" applyNumberFormat="1" applyFont="1"/>
    <xf numFmtId="166" fontId="5" fillId="0" borderId="0" xfId="2" applyNumberFormat="1" applyFont="1"/>
    <xf numFmtId="164" fontId="5" fillId="0" borderId="0" xfId="1" applyFont="1" applyFill="1" applyBorder="1"/>
    <xf numFmtId="164" fontId="5" fillId="0" borderId="0" xfId="1" applyFont="1" applyFill="1"/>
    <xf numFmtId="164" fontId="3" fillId="0" borderId="0" xfId="1" applyFont="1" applyFill="1" applyBorder="1"/>
    <xf numFmtId="164" fontId="3" fillId="0" borderId="0" xfId="1" applyFont="1" applyFill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Continuous" wrapText="1"/>
    </xf>
    <xf numFmtId="0" fontId="4" fillId="0" borderId="0" xfId="2" applyFont="1"/>
    <xf numFmtId="0" fontId="12" fillId="0" borderId="0" xfId="2" applyFont="1" applyAlignment="1">
      <alignment horizontal="centerContinuous"/>
    </xf>
    <xf numFmtId="0" fontId="5" fillId="0" borderId="38" xfId="2" applyFont="1" applyBorder="1" applyAlignment="1">
      <alignment horizontal="right"/>
    </xf>
    <xf numFmtId="9" fontId="3" fillId="5" borderId="39" xfId="3" applyFont="1" applyFill="1" applyBorder="1" applyAlignment="1">
      <alignment horizontal="center"/>
    </xf>
    <xf numFmtId="49" fontId="3" fillId="5" borderId="40" xfId="2" applyNumberFormat="1" applyFont="1" applyFill="1" applyBorder="1" applyAlignment="1">
      <alignment horizontal="center"/>
    </xf>
    <xf numFmtId="49" fontId="8" fillId="5" borderId="4" xfId="2" applyNumberFormat="1" applyFont="1" applyFill="1" applyBorder="1" applyAlignment="1">
      <alignment horizontal="left"/>
    </xf>
    <xf numFmtId="49" fontId="8" fillId="5" borderId="4" xfId="2" applyNumberFormat="1" applyFont="1" applyFill="1" applyBorder="1" applyAlignment="1">
      <alignment horizontal="center"/>
    </xf>
    <xf numFmtId="49" fontId="3" fillId="5" borderId="40" xfId="2" applyNumberFormat="1" applyFont="1" applyFill="1" applyBorder="1" applyAlignment="1">
      <alignment horizontal="center" wrapText="1"/>
    </xf>
    <xf numFmtId="49" fontId="8" fillId="5" borderId="10" xfId="2" applyNumberFormat="1" applyFont="1" applyFill="1" applyBorder="1" applyAlignment="1">
      <alignment horizontal="left"/>
    </xf>
    <xf numFmtId="49" fontId="8" fillId="5" borderId="10" xfId="2" applyNumberFormat="1" applyFont="1" applyFill="1" applyBorder="1" applyAlignment="1">
      <alignment horizontal="center"/>
    </xf>
    <xf numFmtId="49" fontId="3" fillId="5" borderId="41" xfId="2" applyNumberFormat="1" applyFont="1" applyFill="1" applyBorder="1" applyAlignment="1">
      <alignment horizontal="center"/>
    </xf>
    <xf numFmtId="0" fontId="3" fillId="2" borderId="42" xfId="2" applyFont="1" applyFill="1" applyBorder="1"/>
    <xf numFmtId="166" fontId="3" fillId="3" borderId="14" xfId="2" applyNumberFormat="1" applyFont="1" applyFill="1" applyBorder="1" applyAlignment="1">
      <alignment horizontal="center"/>
    </xf>
    <xf numFmtId="0" fontId="10" fillId="5" borderId="22" xfId="2" applyFont="1" applyFill="1" applyBorder="1" applyAlignment="1">
      <alignment horizontal="center" vertical="center"/>
    </xf>
    <xf numFmtId="166" fontId="10" fillId="5" borderId="14" xfId="2" applyNumberFormat="1" applyFont="1" applyFill="1" applyBorder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166" fontId="3" fillId="5" borderId="43" xfId="2" applyNumberFormat="1" applyFont="1" applyFill="1" applyBorder="1" applyAlignment="1">
      <alignment horizontal="center" vertical="center" wrapText="1"/>
    </xf>
    <xf numFmtId="0" fontId="3" fillId="2" borderId="44" xfId="2" applyFont="1" applyFill="1" applyBorder="1"/>
    <xf numFmtId="166" fontId="3" fillId="3" borderId="20" xfId="2" applyNumberFormat="1" applyFont="1" applyFill="1" applyBorder="1" applyAlignment="1">
      <alignment horizontal="center"/>
    </xf>
    <xf numFmtId="0" fontId="10" fillId="5" borderId="32" xfId="2" applyFont="1" applyFill="1" applyBorder="1" applyAlignment="1">
      <alignment horizontal="center" vertical="center"/>
    </xf>
    <xf numFmtId="166" fontId="3" fillId="5" borderId="45" xfId="2" applyNumberFormat="1" applyFont="1" applyFill="1" applyBorder="1" applyAlignment="1">
      <alignment horizontal="center" vertical="center"/>
    </xf>
    <xf numFmtId="166" fontId="3" fillId="5" borderId="43" xfId="2" applyNumberFormat="1" applyFont="1" applyFill="1" applyBorder="1" applyAlignment="1">
      <alignment horizontal="center" vertical="center"/>
    </xf>
    <xf numFmtId="166" fontId="10" fillId="5" borderId="12" xfId="2" applyNumberFormat="1" applyFont="1" applyFill="1" applyBorder="1" applyAlignment="1">
      <alignment horizontal="center" vertical="center"/>
    </xf>
    <xf numFmtId="166" fontId="5" fillId="0" borderId="0" xfId="2" applyNumberFormat="1" applyFont="1" applyAlignment="1">
      <alignment horizontal="right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6" fillId="0" borderId="1" xfId="2" applyFont="1" applyBorder="1" applyAlignment="1">
      <alignment horizontal="left" vertical="center"/>
    </xf>
    <xf numFmtId="22" fontId="3" fillId="0" borderId="0" xfId="2" applyNumberFormat="1" applyFont="1"/>
    <xf numFmtId="0" fontId="3" fillId="0" borderId="2" xfId="2" applyFont="1" applyBorder="1"/>
    <xf numFmtId="166" fontId="5" fillId="0" borderId="2" xfId="2" applyNumberFormat="1" applyFont="1" applyBorder="1" applyAlignment="1">
      <alignment horizontal="right"/>
    </xf>
    <xf numFmtId="164" fontId="3" fillId="0" borderId="0" xfId="1" applyFont="1" applyFill="1"/>
    <xf numFmtId="0" fontId="3" fillId="2" borderId="18" xfId="2" applyFont="1" applyFill="1" applyBorder="1"/>
    <xf numFmtId="165" fontId="5" fillId="2" borderId="19" xfId="0" applyFont="1" applyFill="1" applyBorder="1"/>
    <xf numFmtId="0" fontId="10" fillId="6" borderId="13" xfId="2" applyFont="1" applyFill="1" applyBorder="1" applyAlignment="1">
      <alignment vertical="center"/>
    </xf>
    <xf numFmtId="165" fontId="11" fillId="6" borderId="5" xfId="0" applyFont="1" applyFill="1" applyBorder="1" applyAlignment="1">
      <alignment vertical="center"/>
    </xf>
    <xf numFmtId="0" fontId="10" fillId="5" borderId="11" xfId="2" applyFont="1" applyFill="1" applyBorder="1" applyAlignment="1">
      <alignment vertical="center"/>
    </xf>
    <xf numFmtId="165" fontId="11" fillId="5" borderId="0" xfId="0" applyFont="1" applyFill="1" applyAlignment="1">
      <alignment vertical="center"/>
    </xf>
    <xf numFmtId="49" fontId="10" fillId="5" borderId="26" xfId="2" applyNumberFormat="1" applyFont="1" applyFill="1" applyBorder="1" applyAlignment="1">
      <alignment horizontal="center" shrinkToFit="1"/>
    </xf>
    <xf numFmtId="49" fontId="10" fillId="5" borderId="36" xfId="2" applyNumberFormat="1" applyFont="1" applyFill="1" applyBorder="1" applyAlignment="1">
      <alignment horizontal="center" shrinkToFit="1"/>
    </xf>
    <xf numFmtId="165" fontId="11" fillId="5" borderId="27" xfId="0" applyFont="1" applyFill="1" applyBorder="1" applyAlignment="1">
      <alignment horizontal="center" shrinkToFit="1"/>
    </xf>
    <xf numFmtId="49" fontId="10" fillId="5" borderId="32" xfId="2" applyNumberFormat="1" applyFont="1" applyFill="1" applyBorder="1" applyAlignment="1">
      <alignment horizontal="center" shrinkToFit="1"/>
    </xf>
    <xf numFmtId="165" fontId="11" fillId="5" borderId="37" xfId="0" applyFont="1" applyFill="1" applyBorder="1" applyAlignment="1">
      <alignment shrinkToFit="1"/>
    </xf>
    <xf numFmtId="165" fontId="11" fillId="5" borderId="33" xfId="0" applyFont="1" applyFill="1" applyBorder="1" applyAlignment="1">
      <alignment shrinkToFit="1"/>
    </xf>
    <xf numFmtId="49" fontId="10" fillId="5" borderId="25" xfId="2" applyNumberFormat="1" applyFont="1" applyFill="1" applyBorder="1" applyAlignment="1">
      <alignment horizontal="center" vertical="center" wrapText="1"/>
    </xf>
    <xf numFmtId="165" fontId="11" fillId="5" borderId="31" xfId="0" applyFont="1" applyFill="1" applyBorder="1" applyAlignment="1">
      <alignment horizontal="center" vertical="center" wrapText="1"/>
    </xf>
    <xf numFmtId="49" fontId="10" fillId="5" borderId="6" xfId="2" applyNumberFormat="1" applyFont="1" applyFill="1" applyBorder="1" applyAlignment="1">
      <alignment horizontal="center" vertical="center" wrapText="1"/>
    </xf>
    <xf numFmtId="165" fontId="11" fillId="5" borderId="6" xfId="0" applyFont="1" applyFill="1" applyBorder="1" applyAlignment="1">
      <alignment horizontal="center" vertical="center" wrapText="1"/>
    </xf>
    <xf numFmtId="165" fontId="11" fillId="5" borderId="5" xfId="0" applyFont="1" applyFill="1" applyBorder="1" applyAlignment="1">
      <alignment horizontal="center" vertical="center" wrapText="1"/>
    </xf>
    <xf numFmtId="49" fontId="10" fillId="5" borderId="25" xfId="2" applyNumberFormat="1" applyFont="1" applyFill="1" applyBorder="1" applyAlignment="1">
      <alignment horizontal="center" vertical="center" wrapText="1" shrinkToFit="1"/>
    </xf>
    <xf numFmtId="165" fontId="11" fillId="5" borderId="31" xfId="0" applyFont="1" applyFill="1" applyBorder="1" applyAlignment="1">
      <alignment horizontal="center" vertical="center" wrapText="1" shrinkToFit="1"/>
    </xf>
    <xf numFmtId="49" fontId="8" fillId="5" borderId="4" xfId="2" applyNumberFormat="1" applyFont="1" applyFill="1" applyBorder="1" applyAlignment="1">
      <alignment horizontal="center" vertical="center" wrapText="1"/>
    </xf>
    <xf numFmtId="165" fontId="13" fillId="5" borderId="4" xfId="0" applyFont="1" applyFill="1" applyBorder="1" applyAlignment="1">
      <alignment horizontal="center" vertical="center" wrapText="1"/>
    </xf>
    <xf numFmtId="165" fontId="13" fillId="5" borderId="12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_Hoja1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1223" name="image1.png">
          <a:extLst>
            <a:ext uri="{FF2B5EF4-FFF2-40B4-BE49-F238E27FC236}">
              <a16:creationId xmlns:a16="http://schemas.microsoft.com/office/drawing/2014/main" id="{C47828B8-770F-2762-C318-9273D648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67A805B-DFE7-BB3B-B641-A1D3CA42909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ENERO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F40AFE2-C92A-41FC-8E2B-7E510A7C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4B3D798-FF0A-440D-BAD5-06D91648B7B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FEBRERO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6139781-1FA6-430A-A6DB-16EC576A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43E3F33-2750-47FC-9E4B-C715EFA42CC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MARZO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DD1FC24-C6CD-4E96-A9DC-4CBCC226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8DA762A-E5B8-4146-A561-1E686BF69A8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ABRIL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C28FE16-4C84-4326-A4D3-F68BF5408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D7C482C-95BE-4C77-89E2-C14EA297A11B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MAYO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38EA8824-EC9B-4950-9441-09FC9246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9C0200A-08CC-435A-9FE2-B45CBA07501E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JUNIO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13CBF48-4E11-48CA-92F2-C2C62CD6F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8C58282-05D1-4229-B8E5-9313C87EAC0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JULIO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F450212-6D99-447A-9E70-8B3E9217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DD68CC-5F1C-408B-BA87-464CA2BE6D3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AGOSTO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5D44DDF-6680-436C-9D9E-DD3F9DC5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8065E00-B0B8-48CB-93CD-3EB961145AB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SEPTIEMBRE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EE4BFE98-BCD8-48E0-8902-2EB1BACA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8D2323D-C20D-4F76-B788-C0B957BAC2B5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OCTUBRE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0</xdr:col>
      <xdr:colOff>1514475</xdr:colOff>
      <xdr:row>3</xdr:row>
      <xdr:rowOff>228600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32D6441-C696-4307-B8F5-20673207C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04775" y="38100"/>
          <a:ext cx="14097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1085849</xdr:colOff>
      <xdr:row>0</xdr:row>
      <xdr:rowOff>161924</xdr:rowOff>
    </xdr:from>
    <xdr:ext cx="3209925" cy="6762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1C64A08-B943-4F13-B831-CD7B1A783075}"/>
            </a:ext>
          </a:extLst>
        </xdr:cNvPr>
        <xdr:cNvSpPr txBox="1">
          <a:spLocks/>
        </xdr:cNvSpPr>
      </xdr:nvSpPr>
      <xdr:spPr>
        <a:xfrm>
          <a:off x="9382124" y="161924"/>
          <a:ext cx="3209925" cy="676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AR" sz="12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oneCellAnchor>
  <xdr:oneCellAnchor>
    <xdr:from>
      <xdr:col>10</xdr:col>
      <xdr:colOff>1085849</xdr:colOff>
      <xdr:row>0</xdr:row>
      <xdr:rowOff>161923</xdr:rowOff>
    </xdr:from>
    <xdr:ext cx="3095626" cy="815608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4843E55-276B-4B29-AB88-FA01F92D39F6}"/>
            </a:ext>
          </a:extLst>
        </xdr:cNvPr>
        <xdr:cNvSpPr txBox="1"/>
      </xdr:nvSpPr>
      <xdr:spPr>
        <a:xfrm>
          <a:off x="9382124" y="161923"/>
          <a:ext cx="3095626" cy="815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AÑO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2026 - ACUMULADO A OCTUBRE</a:t>
          </a:r>
        </a:p>
        <a:p>
          <a:pPr algn="ctr"/>
          <a:endParaRPr lang="es-AR" sz="1200" b="1">
            <a:latin typeface="Roboto" panose="02000000000000000000" pitchFamily="2" charset="0"/>
            <a:ea typeface="Roboto" panose="02000000000000000000" pitchFamily="2" charset="0"/>
          </a:endParaRP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Z77"/>
  <sheetViews>
    <sheetView showGridLines="0" showZeros="0" topLeftCell="A16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111"/>
      <c r="AE8" s="111"/>
      <c r="AF8" s="108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08"/>
      <c r="AE9" s="108"/>
      <c r="AF9" s="108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972488.7257999999</v>
      </c>
      <c r="C10" s="2">
        <v>168715.92326272509</v>
      </c>
      <c r="D10" s="89">
        <f>B10+C10</f>
        <v>1141204.649062725</v>
      </c>
      <c r="E10" s="2">
        <v>35.008399999999995</v>
      </c>
      <c r="F10" s="89">
        <f>D10+E10</f>
        <v>1141239.657462725</v>
      </c>
      <c r="G10" s="2">
        <v>0</v>
      </c>
      <c r="H10" s="2">
        <v>0</v>
      </c>
      <c r="I10" s="2">
        <v>0</v>
      </c>
      <c r="J10" s="2">
        <v>6326.6279000000004</v>
      </c>
      <c r="K10" s="2">
        <v>1506.1851999999999</v>
      </c>
      <c r="L10" s="2">
        <v>0</v>
      </c>
      <c r="M10" s="2">
        <v>18610.939600000002</v>
      </c>
      <c r="N10" s="2">
        <v>1935.0076000000001</v>
      </c>
      <c r="O10" s="2">
        <v>4232.5232000000005</v>
      </c>
      <c r="P10" s="2">
        <v>206.86889622214798</v>
      </c>
      <c r="Q10" s="2">
        <v>6333.6077000000005</v>
      </c>
      <c r="R10" s="2">
        <v>269.41966913693034</v>
      </c>
      <c r="S10" s="2">
        <v>0</v>
      </c>
      <c r="T10" s="2">
        <v>196.30424611404703</v>
      </c>
      <c r="U10" s="2">
        <v>0</v>
      </c>
      <c r="V10" s="2">
        <v>5378.2829000000002</v>
      </c>
      <c r="W10" s="89">
        <f t="shared" ref="W10:W32" si="0">SUM(F10:V10)</f>
        <v>1186235.4243741978</v>
      </c>
      <c r="X10" s="3"/>
      <c r="Y10" s="39">
        <v>173124.26508300001</v>
      </c>
      <c r="Z10" s="40"/>
      <c r="AA10" s="97">
        <v>0</v>
      </c>
      <c r="AB10" s="3"/>
      <c r="AC10" s="89">
        <f>+W10+Y10+AA10</f>
        <v>1359359.6894571979</v>
      </c>
      <c r="AD10" s="104"/>
      <c r="AE10" s="105"/>
      <c r="AF10" s="107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135271.6347</v>
      </c>
      <c r="C11" s="2">
        <v>7863.8777791845596</v>
      </c>
      <c r="D11" s="89">
        <f t="shared" ref="D11:D32" si="1">B11+C11</f>
        <v>143135.51247918454</v>
      </c>
      <c r="E11" s="2">
        <v>1.7832999999999999</v>
      </c>
      <c r="F11" s="89">
        <f t="shared" ref="F11:F32" si="2">D11+E11</f>
        <v>143137.29577918455</v>
      </c>
      <c r="G11" s="2">
        <v>0</v>
      </c>
      <c r="H11" s="2">
        <v>0</v>
      </c>
      <c r="I11" s="2">
        <v>0</v>
      </c>
      <c r="J11" s="2">
        <v>793.51690000000008</v>
      </c>
      <c r="K11" s="2">
        <v>0</v>
      </c>
      <c r="L11" s="2">
        <v>0</v>
      </c>
      <c r="M11" s="2">
        <v>0</v>
      </c>
      <c r="N11" s="2">
        <v>246.46470000000002</v>
      </c>
      <c r="O11" s="2">
        <v>434.50190000000003</v>
      </c>
      <c r="P11" s="2">
        <v>311.78151201027276</v>
      </c>
      <c r="Q11" s="2">
        <v>917.28109999999992</v>
      </c>
      <c r="R11" s="2">
        <v>395.62879096888645</v>
      </c>
      <c r="S11" s="2">
        <v>0</v>
      </c>
      <c r="T11" s="2">
        <v>295.85904785142435</v>
      </c>
      <c r="U11" s="2">
        <v>2.2000000000000002</v>
      </c>
      <c r="V11" s="2">
        <v>674.58109999999999</v>
      </c>
      <c r="W11" s="89">
        <f t="shared" si="0"/>
        <v>147209.11083001515</v>
      </c>
      <c r="X11" s="3"/>
      <c r="Y11" s="39">
        <v>928.06272300000001</v>
      </c>
      <c r="Z11" s="40"/>
      <c r="AA11" s="41">
        <v>0</v>
      </c>
      <c r="AB11" s="3"/>
      <c r="AC11" s="89">
        <f t="shared" ref="AC11:AC38" si="3">+W11+Y11+AA11</f>
        <v>148137.17355301516</v>
      </c>
      <c r="AD11" s="104"/>
      <c r="AE11" s="105"/>
      <c r="AF11" s="107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425283.44960000005</v>
      </c>
      <c r="C12" s="2">
        <v>36153.412127679687</v>
      </c>
      <c r="D12" s="89">
        <f t="shared" si="1"/>
        <v>461436.86172767973</v>
      </c>
      <c r="E12" s="2">
        <v>10.441700000000001</v>
      </c>
      <c r="F12" s="89">
        <f>D12+E12</f>
        <v>461447.30342767976</v>
      </c>
      <c r="G12" s="2">
        <v>0</v>
      </c>
      <c r="H12" s="2">
        <v>0</v>
      </c>
      <c r="I12" s="2">
        <v>0</v>
      </c>
      <c r="J12" s="2">
        <v>2558.1207999999997</v>
      </c>
      <c r="K12" s="2">
        <v>514.36869999999999</v>
      </c>
      <c r="L12" s="2">
        <v>0</v>
      </c>
      <c r="M12" s="2">
        <v>6355.7156999999997</v>
      </c>
      <c r="N12" s="2">
        <v>794.53989999999999</v>
      </c>
      <c r="O12" s="2">
        <v>1902.0017</v>
      </c>
      <c r="P12" s="2">
        <v>206.8688962222615</v>
      </c>
      <c r="Q12" s="2">
        <v>2467.9229999999998</v>
      </c>
      <c r="R12" s="2">
        <v>255.20756770485463</v>
      </c>
      <c r="S12" s="2">
        <v>0</v>
      </c>
      <c r="T12" s="2">
        <v>196.30424611404703</v>
      </c>
      <c r="U12" s="2">
        <v>0.5</v>
      </c>
      <c r="V12" s="2">
        <v>2174.6787000000004</v>
      </c>
      <c r="W12" s="89">
        <f t="shared" si="0"/>
        <v>478873.53263772087</v>
      </c>
      <c r="X12" s="3"/>
      <c r="Y12" s="39">
        <v>5473.9498800000001</v>
      </c>
      <c r="Z12" s="40"/>
      <c r="AA12" s="41">
        <v>0</v>
      </c>
      <c r="AB12" s="3"/>
      <c r="AC12" s="89">
        <f t="shared" si="3"/>
        <v>484347.4825177209</v>
      </c>
      <c r="AD12" s="104"/>
      <c r="AE12" s="105"/>
      <c r="AF12" s="107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176740.2409</v>
      </c>
      <c r="C13" s="2">
        <v>16442.653538294995</v>
      </c>
      <c r="D13" s="89">
        <f t="shared" si="1"/>
        <v>193182.89443829498</v>
      </c>
      <c r="E13" s="2">
        <v>3.2166999999999999</v>
      </c>
      <c r="F13" s="89">
        <f t="shared" si="2"/>
        <v>193186.11113829497</v>
      </c>
      <c r="G13" s="2">
        <v>0</v>
      </c>
      <c r="H13" s="2">
        <v>0</v>
      </c>
      <c r="I13" s="2">
        <v>0</v>
      </c>
      <c r="J13" s="2">
        <v>1070.9703</v>
      </c>
      <c r="K13" s="2">
        <v>164.47129999999999</v>
      </c>
      <c r="L13" s="2">
        <v>0</v>
      </c>
      <c r="M13" s="2">
        <v>2032.2633999999998</v>
      </c>
      <c r="N13" s="2">
        <v>332.63779999999997</v>
      </c>
      <c r="O13" s="2">
        <v>560.25419999999997</v>
      </c>
      <c r="P13" s="2">
        <v>261.89491882922181</v>
      </c>
      <c r="Q13" s="2">
        <v>2162.1626000000001</v>
      </c>
      <c r="R13" s="2">
        <v>357.56597511603923</v>
      </c>
      <c r="S13" s="2">
        <v>0</v>
      </c>
      <c r="T13" s="2">
        <v>248.52012816197575</v>
      </c>
      <c r="U13" s="2">
        <v>1.5</v>
      </c>
      <c r="V13" s="2">
        <v>910.43939999999998</v>
      </c>
      <c r="W13" s="89">
        <f t="shared" si="0"/>
        <v>201288.79116040221</v>
      </c>
      <c r="X13" s="3"/>
      <c r="Y13" s="39">
        <v>6724.6844280000005</v>
      </c>
      <c r="Z13" s="40"/>
      <c r="AA13" s="41">
        <v>0</v>
      </c>
      <c r="AB13" s="3"/>
      <c r="AC13" s="89">
        <f t="shared" si="3"/>
        <v>208013.47558840222</v>
      </c>
      <c r="AD13" s="104"/>
      <c r="AE13" s="105"/>
      <c r="AF13" s="107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240351.70630000002</v>
      </c>
      <c r="C14" s="2">
        <v>18893.732326612258</v>
      </c>
      <c r="D14" s="89">
        <f t="shared" si="1"/>
        <v>259245.43862661227</v>
      </c>
      <c r="E14" s="2">
        <v>2.8</v>
      </c>
      <c r="F14" s="89">
        <f t="shared" si="2"/>
        <v>259248.23862661226</v>
      </c>
      <c r="G14" s="2">
        <v>0</v>
      </c>
      <c r="H14" s="2">
        <v>0</v>
      </c>
      <c r="I14" s="2">
        <v>0</v>
      </c>
      <c r="J14" s="2">
        <v>1437.2088999999999</v>
      </c>
      <c r="K14" s="2">
        <v>129.30240000000001</v>
      </c>
      <c r="L14" s="2">
        <v>0</v>
      </c>
      <c r="M14" s="2">
        <v>1597.7041999999999</v>
      </c>
      <c r="N14" s="2">
        <v>446.3929</v>
      </c>
      <c r="O14" s="2">
        <v>567.10630000000003</v>
      </c>
      <c r="P14" s="2">
        <v>278.15506167626785</v>
      </c>
      <c r="Q14" s="2">
        <v>2009.2823999999998</v>
      </c>
      <c r="R14" s="2">
        <v>372.95459657117902</v>
      </c>
      <c r="S14" s="2">
        <v>0</v>
      </c>
      <c r="T14" s="2">
        <v>263.94987686612342</v>
      </c>
      <c r="U14" s="2">
        <v>0.5</v>
      </c>
      <c r="V14" s="2">
        <v>1221.7901999999999</v>
      </c>
      <c r="W14" s="89">
        <f t="shared" si="0"/>
        <v>267572.58546172577</v>
      </c>
      <c r="X14" s="3"/>
      <c r="Y14" s="39">
        <v>8201.1254430000008</v>
      </c>
      <c r="Z14" s="40"/>
      <c r="AA14" s="41">
        <v>0</v>
      </c>
      <c r="AB14" s="3"/>
      <c r="AC14" s="89">
        <f t="shared" si="3"/>
        <v>275773.71090472577</v>
      </c>
      <c r="AD14" s="104"/>
      <c r="AE14" s="105"/>
      <c r="AF14" s="107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74526.493700000006</v>
      </c>
      <c r="C15" s="2">
        <v>7659.621213491454</v>
      </c>
      <c r="D15" s="89">
        <f t="shared" si="1"/>
        <v>82186.114913491459</v>
      </c>
      <c r="E15" s="2">
        <v>2.0167000000000002</v>
      </c>
      <c r="F15" s="89">
        <f t="shared" si="2"/>
        <v>82188.131613491452</v>
      </c>
      <c r="G15" s="2">
        <v>0</v>
      </c>
      <c r="H15" s="2">
        <v>0</v>
      </c>
      <c r="I15" s="2">
        <v>0</v>
      </c>
      <c r="J15" s="2">
        <v>455.62459999999999</v>
      </c>
      <c r="K15" s="2">
        <v>50.5807</v>
      </c>
      <c r="L15" s="2">
        <v>0</v>
      </c>
      <c r="M15" s="2">
        <v>624.99189999999999</v>
      </c>
      <c r="N15" s="2">
        <v>141.51779999999999</v>
      </c>
      <c r="O15" s="2">
        <v>494.68379999999996</v>
      </c>
      <c r="P15" s="2">
        <v>291.64084339283784</v>
      </c>
      <c r="Q15" s="2">
        <v>1397.7617</v>
      </c>
      <c r="R15" s="2">
        <v>509.2233852605732</v>
      </c>
      <c r="S15" s="2">
        <v>0</v>
      </c>
      <c r="T15" s="2">
        <v>276.74694911024477</v>
      </c>
      <c r="U15" s="2">
        <v>3</v>
      </c>
      <c r="V15" s="2">
        <v>387.3383</v>
      </c>
      <c r="W15" s="89">
        <f t="shared" si="0"/>
        <v>86821.241591255108</v>
      </c>
      <c r="X15" s="3"/>
      <c r="Y15" s="39">
        <v>1557.23127</v>
      </c>
      <c r="Z15" s="40"/>
      <c r="AA15" s="41">
        <v>0</v>
      </c>
      <c r="AB15" s="3"/>
      <c r="AC15" s="89">
        <f t="shared" si="3"/>
        <v>88378.472861255112</v>
      </c>
      <c r="AD15" s="104"/>
      <c r="AE15" s="105"/>
      <c r="AF15" s="107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237757.15030000001</v>
      </c>
      <c r="C16" s="2">
        <v>15983.076265485508</v>
      </c>
      <c r="D16" s="89">
        <f t="shared" si="1"/>
        <v>253740.22656548553</v>
      </c>
      <c r="E16" s="2">
        <v>5.6249000000000002</v>
      </c>
      <c r="F16" s="89">
        <f t="shared" si="2"/>
        <v>253745.85146548552</v>
      </c>
      <c r="G16" s="2">
        <v>0</v>
      </c>
      <c r="H16" s="2">
        <v>0</v>
      </c>
      <c r="I16" s="2">
        <v>0</v>
      </c>
      <c r="J16" s="2">
        <v>1406.6890000000001</v>
      </c>
      <c r="K16" s="2">
        <v>223.22459999999998</v>
      </c>
      <c r="L16" s="2">
        <v>0</v>
      </c>
      <c r="M16" s="2">
        <v>2758.2406999999998</v>
      </c>
      <c r="N16" s="2">
        <v>436.90649999999999</v>
      </c>
      <c r="O16" s="2">
        <v>714.02109999999993</v>
      </c>
      <c r="P16" s="2">
        <v>239.37963571702622</v>
      </c>
      <c r="Q16" s="2">
        <v>1703.5221000000001</v>
      </c>
      <c r="R16" s="2">
        <v>356.37184764983544</v>
      </c>
      <c r="S16" s="2">
        <v>0</v>
      </c>
      <c r="T16" s="2">
        <v>227.15468483862387</v>
      </c>
      <c r="U16" s="2">
        <v>1.8</v>
      </c>
      <c r="V16" s="2">
        <v>1195.8258000000001</v>
      </c>
      <c r="W16" s="89">
        <f t="shared" si="0"/>
        <v>263008.98743369104</v>
      </c>
      <c r="X16" s="3"/>
      <c r="Y16" s="39">
        <v>3770.9504700000002</v>
      </c>
      <c r="Z16" s="40"/>
      <c r="AA16" s="41">
        <v>0</v>
      </c>
      <c r="AB16" s="3"/>
      <c r="AC16" s="89">
        <f t="shared" si="3"/>
        <v>266779.93790369102</v>
      </c>
      <c r="AD16" s="104"/>
      <c r="AE16" s="105"/>
      <c r="AF16" s="107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178404.57</v>
      </c>
      <c r="C17" s="2">
        <v>10774.533840311311</v>
      </c>
      <c r="D17" s="89">
        <f t="shared" si="1"/>
        <v>189179.10384031132</v>
      </c>
      <c r="E17" s="2">
        <v>1.7251000000000001</v>
      </c>
      <c r="F17" s="89">
        <f t="shared" si="2"/>
        <v>189180.82894031133</v>
      </c>
      <c r="G17" s="2">
        <v>0</v>
      </c>
      <c r="H17" s="2">
        <v>0</v>
      </c>
      <c r="I17" s="2">
        <v>0</v>
      </c>
      <c r="J17" s="2">
        <v>1048.7739999999999</v>
      </c>
      <c r="K17" s="2">
        <v>60.2316</v>
      </c>
      <c r="L17" s="2">
        <v>0</v>
      </c>
      <c r="M17" s="2">
        <v>744.24180000000001</v>
      </c>
      <c r="N17" s="2">
        <v>325.74690000000004</v>
      </c>
      <c r="O17" s="2">
        <v>382.09750000000003</v>
      </c>
      <c r="P17" s="2">
        <v>321.42256614044868</v>
      </c>
      <c r="Q17" s="2">
        <v>1747.2021000000002</v>
      </c>
      <c r="R17" s="2">
        <v>389.00164047051129</v>
      </c>
      <c r="S17" s="2">
        <v>0</v>
      </c>
      <c r="T17" s="2">
        <v>305.00774008369478</v>
      </c>
      <c r="U17" s="2">
        <v>2.2000000000000002</v>
      </c>
      <c r="V17" s="2">
        <v>891.57869999999991</v>
      </c>
      <c r="W17" s="89">
        <f t="shared" si="0"/>
        <v>195398.33348700602</v>
      </c>
      <c r="X17" s="3"/>
      <c r="Y17" s="39">
        <v>4036.2441839999997</v>
      </c>
      <c r="Z17" s="40"/>
      <c r="AA17" s="41">
        <v>0</v>
      </c>
      <c r="AB17" s="3"/>
      <c r="AC17" s="89">
        <f t="shared" si="3"/>
        <v>199434.57767100603</v>
      </c>
      <c r="AD17" s="104"/>
      <c r="AE17" s="105"/>
      <c r="AF17" s="107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137273.7561</v>
      </c>
      <c r="C18" s="2">
        <v>10366.0207089251</v>
      </c>
      <c r="D18" s="89">
        <f t="shared" si="1"/>
        <v>147639.77680892509</v>
      </c>
      <c r="E18" s="2">
        <v>2.7749999999999999</v>
      </c>
      <c r="F18" s="89">
        <f t="shared" si="2"/>
        <v>147642.55180892508</v>
      </c>
      <c r="G18" s="2">
        <v>0</v>
      </c>
      <c r="H18" s="2">
        <v>0</v>
      </c>
      <c r="I18" s="2">
        <v>0</v>
      </c>
      <c r="J18" s="2">
        <v>818.4876999999999</v>
      </c>
      <c r="K18" s="2">
        <v>0</v>
      </c>
      <c r="L18" s="2">
        <v>0</v>
      </c>
      <c r="M18" s="2">
        <v>0</v>
      </c>
      <c r="N18" s="2">
        <v>254.2148</v>
      </c>
      <c r="O18" s="2">
        <v>424.72469999999998</v>
      </c>
      <c r="P18" s="2">
        <v>259.3765148781842</v>
      </c>
      <c r="Q18" s="2">
        <v>1310.4016000000001</v>
      </c>
      <c r="R18" s="2">
        <v>388.55997510165196</v>
      </c>
      <c r="S18" s="2">
        <v>0</v>
      </c>
      <c r="T18" s="2">
        <v>246.13033734212431</v>
      </c>
      <c r="U18" s="2">
        <v>2.2000000000000002</v>
      </c>
      <c r="V18" s="2">
        <v>695.79319999999996</v>
      </c>
      <c r="W18" s="89">
        <f t="shared" si="0"/>
        <v>152042.44063624702</v>
      </c>
      <c r="X18" s="3"/>
      <c r="Y18" s="39">
        <v>3908.4902219999999</v>
      </c>
      <c r="Z18" s="40"/>
      <c r="AA18" s="41">
        <v>0</v>
      </c>
      <c r="AB18" s="3"/>
      <c r="AC18" s="89">
        <f t="shared" si="3"/>
        <v>155950.93085824701</v>
      </c>
      <c r="AD18" s="104"/>
      <c r="AE18" s="105"/>
      <c r="AF18" s="107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94079.140799999994</v>
      </c>
      <c r="C19" s="2">
        <v>5412.7989908672944</v>
      </c>
      <c r="D19" s="89">
        <f t="shared" si="1"/>
        <v>99491.939790867284</v>
      </c>
      <c r="E19" s="2">
        <v>1.6</v>
      </c>
      <c r="F19" s="89">
        <f t="shared" si="2"/>
        <v>99493.539790867289</v>
      </c>
      <c r="G19" s="2">
        <v>0</v>
      </c>
      <c r="H19" s="2">
        <v>0</v>
      </c>
      <c r="I19" s="2">
        <v>0</v>
      </c>
      <c r="J19" s="2">
        <v>551.5154</v>
      </c>
      <c r="K19" s="2">
        <v>44.416699999999999</v>
      </c>
      <c r="L19" s="2">
        <v>3.1300000000000001E-6</v>
      </c>
      <c r="M19" s="2">
        <v>548.91110000000003</v>
      </c>
      <c r="N19" s="2">
        <v>171.29760000000002</v>
      </c>
      <c r="O19" s="2">
        <v>536.08550000000002</v>
      </c>
      <c r="P19" s="2">
        <v>230.25407578873347</v>
      </c>
      <c r="Q19" s="2">
        <v>890.52769999999998</v>
      </c>
      <c r="R19" s="2">
        <v>491.29153299153865</v>
      </c>
      <c r="S19" s="2">
        <v>0</v>
      </c>
      <c r="T19" s="2">
        <v>218.49516087862222</v>
      </c>
      <c r="U19" s="2">
        <v>2.5</v>
      </c>
      <c r="V19" s="2">
        <v>468.84290000000004</v>
      </c>
      <c r="W19" s="89">
        <f t="shared" si="0"/>
        <v>103647.6774636562</v>
      </c>
      <c r="X19" s="3"/>
      <c r="Y19" s="39">
        <v>0</v>
      </c>
      <c r="Z19" s="40"/>
      <c r="AA19" s="41">
        <v>0</v>
      </c>
      <c r="AB19" s="3"/>
      <c r="AC19" s="89">
        <f t="shared" si="3"/>
        <v>103647.6774636562</v>
      </c>
      <c r="AD19" s="104"/>
      <c r="AE19" s="105"/>
      <c r="AF19" s="107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101474.1743</v>
      </c>
      <c r="C20" s="2">
        <v>6127.696970793163</v>
      </c>
      <c r="D20" s="89">
        <f t="shared" si="1"/>
        <v>107601.87127079316</v>
      </c>
      <c r="E20" s="2">
        <v>1.6916</v>
      </c>
      <c r="F20" s="89">
        <f t="shared" si="2"/>
        <v>107603.56287079316</v>
      </c>
      <c r="G20" s="2">
        <v>0</v>
      </c>
      <c r="H20" s="2">
        <v>0</v>
      </c>
      <c r="I20" s="2">
        <v>0</v>
      </c>
      <c r="J20" s="2">
        <v>596.5249</v>
      </c>
      <c r="K20" s="2">
        <v>0</v>
      </c>
      <c r="L20" s="2">
        <v>0</v>
      </c>
      <c r="M20" s="2">
        <v>0</v>
      </c>
      <c r="N20" s="2">
        <v>185.27809999999999</v>
      </c>
      <c r="O20" s="2">
        <v>331.2801</v>
      </c>
      <c r="P20" s="2">
        <v>303.3647565967662</v>
      </c>
      <c r="Q20" s="2">
        <v>873.60109999999997</v>
      </c>
      <c r="R20" s="2">
        <v>440.00597228612605</v>
      </c>
      <c r="S20" s="2">
        <v>0</v>
      </c>
      <c r="T20" s="2">
        <v>287.87213026970608</v>
      </c>
      <c r="U20" s="2">
        <v>2.2000000000000002</v>
      </c>
      <c r="V20" s="2">
        <v>507.11149999999998</v>
      </c>
      <c r="W20" s="89">
        <f t="shared" si="0"/>
        <v>111130.80142994576</v>
      </c>
      <c r="X20" s="3"/>
      <c r="Y20" s="39">
        <v>1215.4343670000001</v>
      </c>
      <c r="Z20" s="40"/>
      <c r="AA20" s="41">
        <v>0</v>
      </c>
      <c r="AB20" s="3"/>
      <c r="AC20" s="89">
        <f t="shared" si="3"/>
        <v>112346.23579694575</v>
      </c>
      <c r="AD20" s="104"/>
      <c r="AE20" s="105"/>
      <c r="AF20" s="107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193317.78719999999</v>
      </c>
      <c r="C21" s="2">
        <v>23387.376771860578</v>
      </c>
      <c r="D21" s="89">
        <f t="shared" si="1"/>
        <v>216705.16397186057</v>
      </c>
      <c r="E21" s="2">
        <v>5.1416000000000004</v>
      </c>
      <c r="F21" s="89">
        <f t="shared" si="2"/>
        <v>216710.30557186058</v>
      </c>
      <c r="G21" s="2">
        <v>0</v>
      </c>
      <c r="H21" s="2">
        <v>0</v>
      </c>
      <c r="I21" s="2">
        <v>0</v>
      </c>
      <c r="J21" s="2">
        <v>1201.3733999999999</v>
      </c>
      <c r="K21" s="2">
        <v>0</v>
      </c>
      <c r="L21" s="2">
        <v>0</v>
      </c>
      <c r="M21" s="2">
        <v>0</v>
      </c>
      <c r="N21" s="2">
        <v>373.14259999999996</v>
      </c>
      <c r="O21" s="2">
        <v>775.79430000000002</v>
      </c>
      <c r="P21" s="2">
        <v>235.46987473623415</v>
      </c>
      <c r="Q21" s="2">
        <v>1747.2021000000002</v>
      </c>
      <c r="R21" s="2">
        <v>287.45263594137782</v>
      </c>
      <c r="S21" s="2">
        <v>0</v>
      </c>
      <c r="T21" s="2">
        <v>223.44459262422973</v>
      </c>
      <c r="U21" s="2">
        <v>2.2000000000000002</v>
      </c>
      <c r="V21" s="2">
        <v>1021.302</v>
      </c>
      <c r="W21" s="89">
        <f t="shared" si="0"/>
        <v>222577.68707516245</v>
      </c>
      <c r="X21" s="3"/>
      <c r="Y21" s="39">
        <v>5729.0215080000007</v>
      </c>
      <c r="Z21" s="40"/>
      <c r="AA21" s="41">
        <v>0</v>
      </c>
      <c r="AB21" s="3"/>
      <c r="AC21" s="89">
        <f t="shared" si="3"/>
        <v>228306.70858316246</v>
      </c>
      <c r="AD21" s="104"/>
      <c r="AE21" s="105"/>
      <c r="AF21" s="107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151594.3126</v>
      </c>
      <c r="C22" s="2">
        <v>20068.207579347614</v>
      </c>
      <c r="D22" s="89">
        <f t="shared" si="1"/>
        <v>171662.52017934763</v>
      </c>
      <c r="E22" s="2">
        <v>2.8416999999999999</v>
      </c>
      <c r="F22" s="89">
        <f t="shared" si="2"/>
        <v>171665.36187934762</v>
      </c>
      <c r="G22" s="2">
        <v>0</v>
      </c>
      <c r="H22" s="2">
        <v>0</v>
      </c>
      <c r="I22" s="2">
        <v>0</v>
      </c>
      <c r="J22" s="2">
        <v>951.6653</v>
      </c>
      <c r="K22" s="2">
        <v>70.614999999999995</v>
      </c>
      <c r="L22" s="2">
        <v>0</v>
      </c>
      <c r="M22" s="2">
        <v>872.54250000000002</v>
      </c>
      <c r="N22" s="2">
        <v>295.57859999999999</v>
      </c>
      <c r="O22" s="2">
        <v>518.59849999999994</v>
      </c>
      <c r="P22" s="2">
        <v>304.57771923150625</v>
      </c>
      <c r="Q22" s="2">
        <v>2052.9625000000001</v>
      </c>
      <c r="R22" s="2">
        <v>320.63447734047861</v>
      </c>
      <c r="S22" s="2">
        <v>0</v>
      </c>
      <c r="T22" s="2">
        <v>289.02314773548653</v>
      </c>
      <c r="U22" s="2">
        <v>2.2000000000000002</v>
      </c>
      <c r="V22" s="2">
        <v>809.0071999999999</v>
      </c>
      <c r="W22" s="89">
        <f t="shared" si="0"/>
        <v>178152.76682365508</v>
      </c>
      <c r="X22" s="3"/>
      <c r="Y22" s="39">
        <v>7580.9771100000007</v>
      </c>
      <c r="Z22" s="40"/>
      <c r="AA22" s="41">
        <v>0</v>
      </c>
      <c r="AB22" s="3"/>
      <c r="AC22" s="89">
        <f t="shared" si="3"/>
        <v>185733.74393365509</v>
      </c>
      <c r="AD22" s="104"/>
      <c r="AE22" s="105"/>
      <c r="AF22" s="107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81512.792000000001</v>
      </c>
      <c r="C23" s="2">
        <v>8680.9040419569828</v>
      </c>
      <c r="D23" s="89">
        <f t="shared" si="1"/>
        <v>90193.69604195698</v>
      </c>
      <c r="E23" s="2">
        <v>1.4499</v>
      </c>
      <c r="F23" s="89">
        <f t="shared" si="2"/>
        <v>90195.145941956987</v>
      </c>
      <c r="G23" s="2">
        <v>0</v>
      </c>
      <c r="H23" s="2">
        <v>0</v>
      </c>
      <c r="I23" s="2">
        <v>0</v>
      </c>
      <c r="J23" s="2">
        <v>500.0172</v>
      </c>
      <c r="K23" s="2">
        <v>31.7575</v>
      </c>
      <c r="L23" s="2">
        <v>0</v>
      </c>
      <c r="M23" s="2">
        <v>392.40689999999995</v>
      </c>
      <c r="N23" s="2">
        <v>155.2997</v>
      </c>
      <c r="O23" s="2">
        <v>659.69919999999991</v>
      </c>
      <c r="P23" s="2">
        <v>270.4709762719275</v>
      </c>
      <c r="Q23" s="2">
        <v>1878.2423000000001</v>
      </c>
      <c r="R23" s="2">
        <v>402.08666848326624</v>
      </c>
      <c r="S23" s="2">
        <v>0</v>
      </c>
      <c r="T23" s="2">
        <v>256.65821232576798</v>
      </c>
      <c r="U23" s="2">
        <v>2.5</v>
      </c>
      <c r="V23" s="2">
        <v>425.0598</v>
      </c>
      <c r="W23" s="89">
        <f t="shared" si="0"/>
        <v>95169.344399037975</v>
      </c>
      <c r="X23" s="3"/>
      <c r="Y23" s="39">
        <v>2097.2780849999999</v>
      </c>
      <c r="Z23" s="40"/>
      <c r="AA23" s="41">
        <v>0</v>
      </c>
      <c r="AB23" s="3"/>
      <c r="AC23" s="89">
        <f t="shared" si="3"/>
        <v>97266.622484037973</v>
      </c>
      <c r="AD23" s="104"/>
      <c r="AE23" s="105"/>
      <c r="AF23" s="107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121779.4029</v>
      </c>
      <c r="C24" s="2">
        <v>9344.7378804595737</v>
      </c>
      <c r="D24" s="89">
        <f t="shared" si="1"/>
        <v>131124.14078045957</v>
      </c>
      <c r="E24" s="2">
        <v>1.2167000000000001</v>
      </c>
      <c r="F24" s="89">
        <f t="shared" si="2"/>
        <v>131125.35748045956</v>
      </c>
      <c r="G24" s="2">
        <v>0</v>
      </c>
      <c r="H24" s="2">
        <v>0</v>
      </c>
      <c r="I24" s="2">
        <v>0</v>
      </c>
      <c r="J24" s="2">
        <v>726.928</v>
      </c>
      <c r="K24" s="2">
        <v>0</v>
      </c>
      <c r="L24" s="2">
        <v>0</v>
      </c>
      <c r="M24" s="2">
        <v>0</v>
      </c>
      <c r="N24" s="2">
        <v>225.78279999999998</v>
      </c>
      <c r="O24" s="2">
        <v>499.9255</v>
      </c>
      <c r="P24" s="2">
        <v>251.31595164736169</v>
      </c>
      <c r="Q24" s="2">
        <v>1965.6024</v>
      </c>
      <c r="R24" s="2">
        <v>297.39432291033074</v>
      </c>
      <c r="S24" s="2">
        <v>0</v>
      </c>
      <c r="T24" s="2">
        <v>238.48142144060083</v>
      </c>
      <c r="U24" s="2">
        <v>2.5</v>
      </c>
      <c r="V24" s="2">
        <v>617.97410000000002</v>
      </c>
      <c r="W24" s="89">
        <f t="shared" si="0"/>
        <v>135951.26197645784</v>
      </c>
      <c r="X24" s="3"/>
      <c r="Y24" s="39">
        <v>1956.1448339999999</v>
      </c>
      <c r="Z24" s="40"/>
      <c r="AA24" s="41">
        <v>0</v>
      </c>
      <c r="AB24" s="3"/>
      <c r="AC24" s="89">
        <f t="shared" si="3"/>
        <v>137907.40681045785</v>
      </c>
      <c r="AD24" s="104"/>
      <c r="AE24" s="105"/>
      <c r="AF24" s="107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179784.2065</v>
      </c>
      <c r="C25" s="2">
        <v>19404.373740845018</v>
      </c>
      <c r="D25" s="89">
        <f t="shared" si="1"/>
        <v>199188.58024084501</v>
      </c>
      <c r="E25" s="2">
        <v>3.3167</v>
      </c>
      <c r="F25" s="89">
        <f t="shared" si="2"/>
        <v>199191.89694084501</v>
      </c>
      <c r="G25" s="2">
        <v>0</v>
      </c>
      <c r="H25" s="2">
        <v>0</v>
      </c>
      <c r="I25" s="2">
        <v>0</v>
      </c>
      <c r="J25" s="2">
        <v>1104.2646999999999</v>
      </c>
      <c r="K25" s="2">
        <v>0</v>
      </c>
      <c r="L25" s="2">
        <v>0</v>
      </c>
      <c r="M25" s="2">
        <v>0</v>
      </c>
      <c r="N25" s="2">
        <v>342.98329999999999</v>
      </c>
      <c r="O25" s="2">
        <v>595.8053000000001</v>
      </c>
      <c r="P25" s="2">
        <v>257.10690847512046</v>
      </c>
      <c r="Q25" s="2">
        <v>1747.2021000000002</v>
      </c>
      <c r="R25" s="2">
        <v>461.87310692872035</v>
      </c>
      <c r="S25" s="2">
        <v>0</v>
      </c>
      <c r="T25" s="2">
        <v>243.97663814711206</v>
      </c>
      <c r="U25" s="2">
        <v>2.5</v>
      </c>
      <c r="V25" s="2">
        <v>938.75530000000003</v>
      </c>
      <c r="W25" s="89">
        <f t="shared" si="0"/>
        <v>204886.36429439593</v>
      </c>
      <c r="X25" s="3"/>
      <c r="Y25" s="39">
        <v>15685.344971</v>
      </c>
      <c r="Z25" s="40"/>
      <c r="AA25" s="41">
        <v>0</v>
      </c>
      <c r="AB25" s="3"/>
      <c r="AC25" s="89">
        <f t="shared" si="3"/>
        <v>220571.70926539594</v>
      </c>
      <c r="AD25" s="104"/>
      <c r="AE25" s="105"/>
      <c r="AF25" s="107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162951.3395</v>
      </c>
      <c r="C26" s="2">
        <v>12714.971214395819</v>
      </c>
      <c r="D26" s="89">
        <f t="shared" si="1"/>
        <v>175666.31071439583</v>
      </c>
      <c r="E26" s="2">
        <v>2.5083000000000002</v>
      </c>
      <c r="F26" s="89">
        <f t="shared" si="2"/>
        <v>175668.81901439582</v>
      </c>
      <c r="G26" s="2">
        <v>0</v>
      </c>
      <c r="H26" s="2">
        <v>0</v>
      </c>
      <c r="I26" s="2">
        <v>0</v>
      </c>
      <c r="J26" s="2">
        <v>973.86159999999995</v>
      </c>
      <c r="K26" s="2">
        <v>0</v>
      </c>
      <c r="L26" s="2">
        <v>0</v>
      </c>
      <c r="M26" s="2">
        <v>0</v>
      </c>
      <c r="N26" s="2">
        <v>302.47859999999997</v>
      </c>
      <c r="O26" s="2">
        <v>443.94759999999997</v>
      </c>
      <c r="P26" s="2">
        <v>238.18994192920786</v>
      </c>
      <c r="Q26" s="2">
        <v>1594.3218999999999</v>
      </c>
      <c r="R26" s="2">
        <v>285.82074877988362</v>
      </c>
      <c r="S26" s="2">
        <v>0</v>
      </c>
      <c r="T26" s="2">
        <v>226.02574787915486</v>
      </c>
      <c r="U26" s="2">
        <v>2.2000000000000002</v>
      </c>
      <c r="V26" s="2">
        <v>827.89269999999999</v>
      </c>
      <c r="W26" s="89">
        <f t="shared" si="0"/>
        <v>180563.55785298412</v>
      </c>
      <c r="X26" s="3"/>
      <c r="Y26" s="39">
        <v>2459.1408659999997</v>
      </c>
      <c r="Z26" s="40"/>
      <c r="AA26" s="41">
        <v>0</v>
      </c>
      <c r="AB26" s="3"/>
      <c r="AC26" s="89">
        <f t="shared" si="3"/>
        <v>183022.69871898412</v>
      </c>
      <c r="AD26" s="104"/>
      <c r="AE26" s="105"/>
      <c r="AF26" s="107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111207.9948</v>
      </c>
      <c r="C27" s="2">
        <v>7404.3005063750752</v>
      </c>
      <c r="D27" s="89">
        <f t="shared" si="1"/>
        <v>118612.29530637508</v>
      </c>
      <c r="E27" s="2">
        <v>1.5751000000000002</v>
      </c>
      <c r="F27" s="89">
        <f t="shared" si="2"/>
        <v>118613.87040637508</v>
      </c>
      <c r="G27" s="2">
        <v>0</v>
      </c>
      <c r="H27" s="2">
        <v>0</v>
      </c>
      <c r="I27" s="2">
        <v>0</v>
      </c>
      <c r="J27" s="2">
        <v>657.5646999999999</v>
      </c>
      <c r="K27" s="2">
        <v>0</v>
      </c>
      <c r="L27" s="2">
        <v>0</v>
      </c>
      <c r="M27" s="2">
        <v>0</v>
      </c>
      <c r="N27" s="2">
        <v>204.23270000000002</v>
      </c>
      <c r="O27" s="2">
        <v>345.79409999999996</v>
      </c>
      <c r="P27" s="2">
        <v>233.3363015255614</v>
      </c>
      <c r="Q27" s="2">
        <v>1594.3218999999999</v>
      </c>
      <c r="R27" s="2">
        <v>328.28605006034587</v>
      </c>
      <c r="S27" s="2">
        <v>0</v>
      </c>
      <c r="T27" s="2">
        <v>221.41997950479276</v>
      </c>
      <c r="U27" s="2">
        <v>2.2000000000000002</v>
      </c>
      <c r="V27" s="2">
        <v>558.99090000000001</v>
      </c>
      <c r="W27" s="89">
        <f t="shared" si="0"/>
        <v>122760.01703746576</v>
      </c>
      <c r="X27" s="3"/>
      <c r="Y27" s="39">
        <v>0</v>
      </c>
      <c r="Z27" s="40"/>
      <c r="AA27" s="41">
        <v>0</v>
      </c>
      <c r="AB27" s="3"/>
      <c r="AC27" s="89">
        <f t="shared" si="3"/>
        <v>122760.01703746576</v>
      </c>
      <c r="AD27" s="104"/>
      <c r="AE27" s="105"/>
      <c r="AF27" s="107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78305.2402</v>
      </c>
      <c r="C28" s="2">
        <v>3880.8747481690034</v>
      </c>
      <c r="D28" s="89">
        <f t="shared" si="1"/>
        <v>82186.114948169008</v>
      </c>
      <c r="E28" s="2">
        <v>0.70829999999999993</v>
      </c>
      <c r="F28" s="89">
        <f t="shared" si="2"/>
        <v>82186.823248169007</v>
      </c>
      <c r="G28" s="2">
        <v>0</v>
      </c>
      <c r="H28" s="2">
        <v>0</v>
      </c>
      <c r="I28" s="2">
        <v>0</v>
      </c>
      <c r="J28" s="2">
        <v>455.62459999999999</v>
      </c>
      <c r="K28" s="2">
        <v>41.177199999999999</v>
      </c>
      <c r="L28" s="2">
        <v>0</v>
      </c>
      <c r="M28" s="2">
        <v>508.79940000000005</v>
      </c>
      <c r="N28" s="2">
        <v>141.51779999999999</v>
      </c>
      <c r="O28" s="2">
        <v>398.21029999999996</v>
      </c>
      <c r="P28" s="2">
        <v>328.31730106025771</v>
      </c>
      <c r="Q28" s="2">
        <v>1397.7617</v>
      </c>
      <c r="R28" s="2">
        <v>718.66939249471227</v>
      </c>
      <c r="S28" s="2">
        <v>0</v>
      </c>
      <c r="T28" s="2">
        <v>311.55036569920333</v>
      </c>
      <c r="U28" s="2">
        <v>3</v>
      </c>
      <c r="V28" s="2">
        <v>387.3383</v>
      </c>
      <c r="W28" s="89">
        <f t="shared" si="0"/>
        <v>86878.789607423212</v>
      </c>
      <c r="X28" s="3"/>
      <c r="Y28" s="39">
        <v>331.24784700000004</v>
      </c>
      <c r="Z28" s="40"/>
      <c r="AA28" s="41">
        <v>0</v>
      </c>
      <c r="AB28" s="3"/>
      <c r="AC28" s="89">
        <f t="shared" si="3"/>
        <v>87210.037454423218</v>
      </c>
      <c r="AD28" s="104"/>
      <c r="AE28" s="105"/>
      <c r="AF28" s="107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439266.61539999995</v>
      </c>
      <c r="C29" s="2">
        <v>34212.974753595176</v>
      </c>
      <c r="D29" s="89">
        <f t="shared" si="1"/>
        <v>473479.59015359514</v>
      </c>
      <c r="E29" s="2">
        <v>11.290799999999999</v>
      </c>
      <c r="F29" s="89">
        <f t="shared" si="2"/>
        <v>473490.88095359516</v>
      </c>
      <c r="G29" s="2">
        <v>0</v>
      </c>
      <c r="H29" s="2">
        <v>0</v>
      </c>
      <c r="I29" s="2">
        <v>0</v>
      </c>
      <c r="J29" s="2">
        <v>2624.6476000000002</v>
      </c>
      <c r="K29" s="2">
        <v>566.10790000000009</v>
      </c>
      <c r="L29" s="2">
        <v>1.2449999999999999E-5</v>
      </c>
      <c r="M29" s="2">
        <v>6996.0817000000015</v>
      </c>
      <c r="N29" s="2">
        <v>845.20759999999996</v>
      </c>
      <c r="O29" s="2">
        <v>1719.3238000000001</v>
      </c>
      <c r="P29" s="2">
        <v>206.8688962222615</v>
      </c>
      <c r="Q29" s="2">
        <v>2515.7407000000003</v>
      </c>
      <c r="R29" s="2">
        <v>235.3327529106549</v>
      </c>
      <c r="S29" s="2">
        <v>0</v>
      </c>
      <c r="T29" s="2">
        <v>196.30424611404703</v>
      </c>
      <c r="U29" s="2">
        <v>0.5</v>
      </c>
      <c r="V29" s="2">
        <v>2231.23</v>
      </c>
      <c r="W29" s="89">
        <f t="shared" si="0"/>
        <v>491628.22616129217</v>
      </c>
      <c r="X29" s="3"/>
      <c r="Y29" s="39">
        <v>6248.4799649999995</v>
      </c>
      <c r="Z29" s="40"/>
      <c r="AA29" s="41">
        <v>0</v>
      </c>
      <c r="AB29" s="3"/>
      <c r="AC29" s="89">
        <f t="shared" si="3"/>
        <v>497876.70612629218</v>
      </c>
      <c r="AD29" s="104"/>
      <c r="AE29" s="105"/>
      <c r="AF29" s="107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197647.84540000002</v>
      </c>
      <c r="C30" s="2">
        <v>17055.423235374314</v>
      </c>
      <c r="D30" s="89">
        <f t="shared" si="1"/>
        <v>214703.26863537432</v>
      </c>
      <c r="E30" s="2">
        <v>2.6333000000000002</v>
      </c>
      <c r="F30" s="89">
        <f t="shared" si="2"/>
        <v>214705.90193537431</v>
      </c>
      <c r="G30" s="2">
        <v>0</v>
      </c>
      <c r="H30" s="2">
        <v>0</v>
      </c>
      <c r="I30" s="2">
        <v>0</v>
      </c>
      <c r="J30" s="2">
        <v>1190.2753</v>
      </c>
      <c r="K30" s="2">
        <v>0</v>
      </c>
      <c r="L30" s="2">
        <v>0</v>
      </c>
      <c r="M30" s="2">
        <v>0</v>
      </c>
      <c r="N30" s="2">
        <v>369.69709999999998</v>
      </c>
      <c r="O30" s="2">
        <v>689.3293000000001</v>
      </c>
      <c r="P30" s="2">
        <v>275.82161514152506</v>
      </c>
      <c r="Q30" s="2">
        <v>1878.2423000000001</v>
      </c>
      <c r="R30" s="2">
        <v>367.63140450197477</v>
      </c>
      <c r="S30" s="2">
        <v>0</v>
      </c>
      <c r="T30" s="2">
        <v>261.73559781285303</v>
      </c>
      <c r="U30" s="2">
        <v>2.2000000000000002</v>
      </c>
      <c r="V30" s="2">
        <v>1011.8715999999999</v>
      </c>
      <c r="W30" s="89">
        <f t="shared" si="0"/>
        <v>220752.70615283071</v>
      </c>
      <c r="X30" s="3"/>
      <c r="Y30" s="39">
        <v>6634.8112949999995</v>
      </c>
      <c r="Z30" s="40"/>
      <c r="AA30" s="41">
        <v>0</v>
      </c>
      <c r="AB30" s="3"/>
      <c r="AC30" s="89">
        <f t="shared" si="3"/>
        <v>227387.5174478307</v>
      </c>
      <c r="AD30" s="104"/>
      <c r="AE30" s="105"/>
      <c r="AF30" s="107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226042.44819999998</v>
      </c>
      <c r="C31" s="2">
        <v>21191.618690659692</v>
      </c>
      <c r="D31" s="89">
        <f t="shared" si="1"/>
        <v>247234.06689065968</v>
      </c>
      <c r="E31" s="2">
        <v>4.6500000000000004</v>
      </c>
      <c r="F31" s="89">
        <f t="shared" si="2"/>
        <v>247238.71689065968</v>
      </c>
      <c r="G31" s="2">
        <v>0</v>
      </c>
      <c r="H31" s="2">
        <v>0</v>
      </c>
      <c r="I31" s="2">
        <v>0</v>
      </c>
      <c r="J31" s="2">
        <v>1370.62</v>
      </c>
      <c r="K31" s="2">
        <v>0</v>
      </c>
      <c r="L31" s="2">
        <v>0</v>
      </c>
      <c r="M31" s="2">
        <v>0</v>
      </c>
      <c r="N31" s="2">
        <v>425.71100000000001</v>
      </c>
      <c r="O31" s="2">
        <v>591.98380000000009</v>
      </c>
      <c r="P31" s="2">
        <v>212.44267727273717</v>
      </c>
      <c r="Q31" s="2">
        <v>1834.5621999999998</v>
      </c>
      <c r="R31" s="2">
        <v>331.09292976524864</v>
      </c>
      <c r="S31" s="2">
        <v>0</v>
      </c>
      <c r="T31" s="2">
        <v>201.59337802127695</v>
      </c>
      <c r="U31" s="2">
        <v>2.2000000000000002</v>
      </c>
      <c r="V31" s="2">
        <v>1165.1831999999999</v>
      </c>
      <c r="W31" s="89">
        <f t="shared" si="0"/>
        <v>253374.10607571894</v>
      </c>
      <c r="X31" s="3"/>
      <c r="Y31" s="39">
        <v>8079.0814230000005</v>
      </c>
      <c r="Z31" s="40"/>
      <c r="AA31" s="41">
        <v>0</v>
      </c>
      <c r="AB31" s="3"/>
      <c r="AC31" s="89">
        <f t="shared" si="3"/>
        <v>261453.18749871894</v>
      </c>
      <c r="AD31" s="104"/>
      <c r="AE31" s="105"/>
      <c r="AF31" s="107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62152.750899999999</v>
      </c>
      <c r="C32" s="2">
        <v>1940.4373740845017</v>
      </c>
      <c r="D32" s="89">
        <f t="shared" si="1"/>
        <v>64093.188274084503</v>
      </c>
      <c r="E32" s="2">
        <v>1</v>
      </c>
      <c r="F32" s="89">
        <f t="shared" si="2"/>
        <v>64094.188274084503</v>
      </c>
      <c r="G32" s="2">
        <v>0</v>
      </c>
      <c r="H32" s="2">
        <v>0</v>
      </c>
      <c r="I32" s="2">
        <v>0</v>
      </c>
      <c r="J32" s="2">
        <v>355.31909999999999</v>
      </c>
      <c r="K32" s="2">
        <v>3.6524999999999999</v>
      </c>
      <c r="L32" s="2">
        <v>0</v>
      </c>
      <c r="M32" s="2">
        <v>45.131500000000003</v>
      </c>
      <c r="N32" s="2">
        <v>110.3638</v>
      </c>
      <c r="O32" s="2">
        <v>311.67629999999997</v>
      </c>
      <c r="P32" s="2">
        <v>241.44220916213078</v>
      </c>
      <c r="Q32" s="2">
        <v>1157.5213999999999</v>
      </c>
      <c r="R32" s="2">
        <v>229.23329453487995</v>
      </c>
      <c r="S32" s="2">
        <v>0</v>
      </c>
      <c r="T32" s="2">
        <v>229.11192409484138</v>
      </c>
      <c r="U32" s="2">
        <v>3</v>
      </c>
      <c r="V32" s="2">
        <v>302.06900000000002</v>
      </c>
      <c r="W32" s="89">
        <f t="shared" si="0"/>
        <v>67082.709301876355</v>
      </c>
      <c r="X32" s="3"/>
      <c r="Y32" s="39">
        <v>165.11690999999999</v>
      </c>
      <c r="Z32" s="40"/>
      <c r="AA32" s="43">
        <v>0</v>
      </c>
      <c r="AB32" s="3"/>
      <c r="AC32" s="89">
        <f t="shared" si="3"/>
        <v>67247.826211876352</v>
      </c>
      <c r="AD32" s="104"/>
      <c r="AE32" s="105"/>
      <c r="AF32" s="107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4779213.7781000007</v>
      </c>
      <c r="C33" s="83">
        <f>SUM(C10:C32)</f>
        <v>483679.5475614937</v>
      </c>
      <c r="D33" s="83">
        <f>SUM(D10:D32)</f>
        <v>5262893.3256614944</v>
      </c>
      <c r="E33" s="83">
        <f t="shared" ref="E33:W33" si="4">SUM(E10:E32)</f>
        <v>107.0158</v>
      </c>
      <c r="F33" s="83">
        <f>SUM(F10:F32)</f>
        <v>5263000.3414614946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29176.221899999997</v>
      </c>
      <c r="K33" s="83">
        <f t="shared" si="4"/>
        <v>3406.0913000000005</v>
      </c>
      <c r="L33" s="83">
        <f t="shared" si="4"/>
        <v>1.558E-5</v>
      </c>
      <c r="M33" s="83">
        <f t="shared" si="4"/>
        <v>42087.970400000013</v>
      </c>
      <c r="N33" s="83">
        <f t="shared" si="4"/>
        <v>9062.0001999999968</v>
      </c>
      <c r="O33" s="83">
        <f t="shared" si="4"/>
        <v>18129.367999999999</v>
      </c>
      <c r="P33" s="83">
        <f t="shared" si="4"/>
        <v>5966.3680501500012</v>
      </c>
      <c r="Q33" s="83">
        <f t="shared" si="4"/>
        <v>43176.956600000005</v>
      </c>
      <c r="R33" s="83">
        <f>SUM(R10:R32)</f>
        <v>8490.7387379100001</v>
      </c>
      <c r="S33" s="83">
        <f t="shared" si="4"/>
        <v>0</v>
      </c>
      <c r="T33" s="83">
        <f t="shared" si="4"/>
        <v>5661.669799029999</v>
      </c>
      <c r="U33" s="83">
        <f t="shared" si="4"/>
        <v>45.800000000000004</v>
      </c>
      <c r="V33" s="83">
        <f t="shared" si="4"/>
        <v>24802.936799999996</v>
      </c>
      <c r="W33" s="83">
        <f t="shared" si="4"/>
        <v>5453006.4632641627</v>
      </c>
      <c r="X33" s="48"/>
      <c r="Y33" s="95">
        <f>SUM(Y10:Y32)</f>
        <v>265907.08288400003</v>
      </c>
      <c r="Z33" s="40"/>
      <c r="AA33" s="101">
        <f>SUM(AA10:AA32)</f>
        <v>0</v>
      </c>
      <c r="AB33" s="6"/>
      <c r="AC33" s="93">
        <f>SUM(AC10:AC32)</f>
        <v>5718913.5461481633</v>
      </c>
      <c r="AD33" s="104"/>
      <c r="AE33" s="105"/>
      <c r="AF33" s="107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102465.67</v>
      </c>
      <c r="C34" s="2">
        <v>25722.70645857813</v>
      </c>
      <c r="D34" s="89">
        <f>B34+C34</f>
        <v>128188.37645857813</v>
      </c>
      <c r="E34" s="2">
        <v>0</v>
      </c>
      <c r="F34" s="89">
        <f>D34+E34</f>
        <v>128188.37645857813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567.84069999999997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128756.21715857813</v>
      </c>
      <c r="X34" s="3"/>
      <c r="Y34" s="39"/>
      <c r="Z34" s="40"/>
      <c r="AA34" s="97">
        <v>0</v>
      </c>
      <c r="AB34" s="3"/>
      <c r="AC34" s="89">
        <f>+W34+Y34+AA34</f>
        <v>128756.21715857813</v>
      </c>
      <c r="AD34" s="104"/>
      <c r="AE34" s="105"/>
      <c r="AF34" s="107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04"/>
      <c r="AE35" s="103"/>
      <c r="AF35" s="107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3684500.1925999997</v>
      </c>
      <c r="C36" s="2">
        <v>0</v>
      </c>
      <c r="D36" s="89">
        <f>B36+C36</f>
        <v>3684500.1925999997</v>
      </c>
      <c r="E36" s="2">
        <v>0</v>
      </c>
      <c r="F36" s="89">
        <f>D36+E36</f>
        <v>3684500.1925999997</v>
      </c>
      <c r="G36" s="2">
        <v>0</v>
      </c>
      <c r="H36" s="2">
        <v>0</v>
      </c>
      <c r="I36" s="2">
        <v>0</v>
      </c>
      <c r="J36" s="2">
        <v>21136.409600000003</v>
      </c>
      <c r="K36" s="2">
        <v>0</v>
      </c>
      <c r="L36" s="2">
        <v>0</v>
      </c>
      <c r="M36" s="2">
        <v>0</v>
      </c>
      <c r="N36" s="2">
        <v>0</v>
      </c>
      <c r="O36" s="2">
        <v>30144.164100000002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3735780.7662999998</v>
      </c>
      <c r="X36" s="3"/>
      <c r="Y36" s="39">
        <f>-SUM(Y33)</f>
        <v>-265907.08288400003</v>
      </c>
      <c r="Z36" s="40"/>
      <c r="AA36" s="41">
        <f>-(AA33+AA34)</f>
        <v>0</v>
      </c>
      <c r="AB36" s="3"/>
      <c r="AC36" s="89">
        <f>+W36+Y36+AA36</f>
        <v>3469873.6834159996</v>
      </c>
      <c r="AD36" s="104"/>
      <c r="AE36" s="105"/>
      <c r="AF36" s="107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627206.3147000001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57753.816399999996</v>
      </c>
      <c r="W37" s="89">
        <f>SUM(F37:V37)</f>
        <v>684960.13110000012</v>
      </c>
      <c r="X37" s="3"/>
      <c r="Y37" s="39"/>
      <c r="Z37" s="40"/>
      <c r="AA37" s="41"/>
      <c r="AB37" s="3"/>
      <c r="AC37" s="89">
        <f t="shared" si="3"/>
        <v>684960.13110000012</v>
      </c>
      <c r="AD37" s="104"/>
      <c r="AE37" s="105"/>
      <c r="AF37" s="107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91563.126099999994</v>
      </c>
      <c r="C38" s="37">
        <v>0</v>
      </c>
      <c r="D38" s="89">
        <f>B38+C38</f>
        <v>91563.126099999994</v>
      </c>
      <c r="E38" s="37">
        <v>0</v>
      </c>
      <c r="F38" s="89">
        <f>D38+E38</f>
        <v>91563.126099999994</v>
      </c>
      <c r="G38" s="37">
        <v>0</v>
      </c>
      <c r="H38" s="37">
        <v>0</v>
      </c>
      <c r="I38" s="37">
        <v>0</v>
      </c>
      <c r="J38" s="37">
        <v>507.59870000000001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92070.724799999996</v>
      </c>
      <c r="X38" s="3"/>
      <c r="Y38" s="42"/>
      <c r="Z38" s="40"/>
      <c r="AA38" s="43"/>
      <c r="AB38" s="3"/>
      <c r="AC38" s="90">
        <f t="shared" si="3"/>
        <v>92070.724799999996</v>
      </c>
      <c r="AD38" s="104"/>
      <c r="AE38" s="105"/>
      <c r="AF38" s="107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8657788.5668000001</v>
      </c>
      <c r="C39" s="85">
        <f>+SUM(C33:C38)</f>
        <v>509402.25402007182</v>
      </c>
      <c r="D39" s="85">
        <f>+SUM(D33:D38)</f>
        <v>9167190.8208200708</v>
      </c>
      <c r="E39" s="85">
        <f t="shared" ref="E39:V39" si="5">+SUM(E33:E38)</f>
        <v>107.0158</v>
      </c>
      <c r="F39" s="85">
        <f>SUM(F33:F38)</f>
        <v>9167297.8366200719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50820.230200000005</v>
      </c>
      <c r="K39" s="85">
        <f t="shared" si="5"/>
        <v>3406.0913000000005</v>
      </c>
      <c r="L39" s="85">
        <f t="shared" si="5"/>
        <v>1.558E-5</v>
      </c>
      <c r="M39" s="85">
        <f t="shared" si="5"/>
        <v>669294.2851000001</v>
      </c>
      <c r="N39" s="85">
        <f t="shared" si="5"/>
        <v>9062.0001999999968</v>
      </c>
      <c r="O39" s="85">
        <f t="shared" si="5"/>
        <v>48273.532099999997</v>
      </c>
      <c r="P39" s="85">
        <f t="shared" si="5"/>
        <v>5966.3680501500012</v>
      </c>
      <c r="Q39" s="85">
        <f t="shared" si="5"/>
        <v>43744.797300000006</v>
      </c>
      <c r="R39" s="85">
        <f t="shared" si="5"/>
        <v>8490.7387379100001</v>
      </c>
      <c r="S39" s="85">
        <f t="shared" si="5"/>
        <v>0</v>
      </c>
      <c r="T39" s="85">
        <f t="shared" si="5"/>
        <v>5661.669799029999</v>
      </c>
      <c r="U39" s="85">
        <f t="shared" si="5"/>
        <v>45.800000000000004</v>
      </c>
      <c r="V39" s="85">
        <f t="shared" si="5"/>
        <v>82556.753199999992</v>
      </c>
      <c r="W39" s="85">
        <f>+SUM(W33:W38)</f>
        <v>10094574.302622741</v>
      </c>
      <c r="X39" s="47"/>
      <c r="Y39" s="46">
        <f>+SUM(Y33:Y38)</f>
        <v>0</v>
      </c>
      <c r="Z39" s="49"/>
      <c r="AA39" s="102"/>
      <c r="AB39" s="7"/>
      <c r="AC39" s="94">
        <f>+SUM(AC33:AC38)</f>
        <v>10094574.302622743</v>
      </c>
      <c r="AD39" s="104"/>
      <c r="AE39" s="105"/>
      <c r="AF39" s="107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4"/>
      <c r="S40" s="103"/>
      <c r="T40" s="104"/>
      <c r="U40" s="103"/>
      <c r="V40" s="103"/>
      <c r="W40" s="103"/>
      <c r="X40" s="105"/>
      <c r="Y40" s="105"/>
      <c r="Z40" s="105"/>
      <c r="AA40" s="105"/>
      <c r="AB40" s="105"/>
      <c r="AC40" s="105"/>
      <c r="AD40" s="103"/>
      <c r="AE40" s="103"/>
      <c r="AF40" s="103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A41" s="103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3"/>
      <c r="AE41" s="103"/>
      <c r="AF41" s="103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A42" s="103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7"/>
      <c r="Y42" s="107"/>
      <c r="Z42" s="107"/>
      <c r="AA42" s="107"/>
      <c r="AB42" s="107"/>
      <c r="AC42" s="107"/>
      <c r="AD42" s="103"/>
      <c r="AE42" s="103"/>
      <c r="AF42" s="103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0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103"/>
      <c r="AE43" s="103"/>
      <c r="AF43" s="103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3352018.4449999998</v>
      </c>
      <c r="F44" s="109"/>
      <c r="J44" s="13" t="s">
        <v>70</v>
      </c>
      <c r="K44" s="11" t="s">
        <v>71</v>
      </c>
      <c r="W44" s="4"/>
      <c r="AD44" s="103"/>
      <c r="AE44" s="103"/>
      <c r="AF44" s="103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5414030.0140000004</v>
      </c>
      <c r="F45" s="109"/>
      <c r="K45" s="11" t="s">
        <v>72</v>
      </c>
      <c r="W45" s="13"/>
      <c r="Y45" s="13"/>
      <c r="AA45" s="13"/>
      <c r="AC45" s="13"/>
      <c r="AD45" s="103"/>
      <c r="AE45" s="103"/>
      <c r="AF45" s="103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09"/>
      <c r="K46" s="5" t="s">
        <v>69</v>
      </c>
      <c r="AD46" s="103"/>
      <c r="AE46" s="103"/>
      <c r="AF46" s="103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364388.73100000003</v>
      </c>
      <c r="F47" s="109"/>
      <c r="K47" s="11" t="s">
        <v>103</v>
      </c>
      <c r="AD47" s="103"/>
      <c r="AE47" s="103"/>
      <c r="AF47" s="103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250.33099999999999</v>
      </c>
      <c r="F48" s="109"/>
      <c r="K48" s="11" t="s">
        <v>101</v>
      </c>
      <c r="AD48" s="103"/>
      <c r="AE48" s="103"/>
      <c r="AF48" s="103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10206.4571</v>
      </c>
      <c r="F49" s="109"/>
      <c r="AD49" s="103"/>
      <c r="AE49" s="103"/>
      <c r="AF49" s="103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15464.428</v>
      </c>
      <c r="F50" s="109"/>
      <c r="AD50" s="112"/>
      <c r="AE50" s="112"/>
      <c r="AF50" s="112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10939.43052007103</v>
      </c>
      <c r="F51" s="109"/>
      <c r="AD51" s="112"/>
      <c r="AE51" s="112"/>
      <c r="AF51" s="112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9167297.8366200719</v>
      </c>
      <c r="F52" s="110"/>
      <c r="AD52" s="113"/>
      <c r="AE52" s="113"/>
      <c r="AF52" s="113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09"/>
      <c r="AD53" s="112"/>
      <c r="AE53" s="112"/>
      <c r="AF53" s="112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09"/>
      <c r="AD54" s="112"/>
      <c r="AE54" s="112"/>
      <c r="AF54" s="112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9167252.0366200712</v>
      </c>
      <c r="F55" s="109"/>
      <c r="AD55" s="112"/>
      <c r="AE55" s="112"/>
      <c r="AF55" s="112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112"/>
      <c r="AE56" s="112"/>
      <c r="AF56" s="112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112"/>
      <c r="AE57" s="112"/>
      <c r="AF57" s="112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112"/>
      <c r="AE58" s="112"/>
      <c r="AF58" s="112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D59" s="103"/>
      <c r="AE59" s="112"/>
      <c r="AF59" s="112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112"/>
      <c r="AE60" s="112"/>
      <c r="AF60" s="112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112"/>
      <c r="AE61" s="112"/>
      <c r="AF61" s="112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112"/>
      <c r="AE62" s="112"/>
      <c r="AF62" s="112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112"/>
      <c r="AE63" s="112"/>
      <c r="AF63" s="112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112"/>
      <c r="AE64" s="112"/>
      <c r="AF64" s="112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112"/>
      <c r="AE65" s="112"/>
      <c r="AF65" s="112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112"/>
      <c r="AE66" s="112"/>
      <c r="AF66" s="112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112"/>
      <c r="AE67" s="112"/>
      <c r="AF67" s="112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3:C53"/>
    <mergeCell ref="A54:C54"/>
    <mergeCell ref="A55:C55"/>
    <mergeCell ref="A52:C52"/>
    <mergeCell ref="R6:T6"/>
    <mergeCell ref="R7:T7"/>
    <mergeCell ref="T8:T9"/>
    <mergeCell ref="A46:C46"/>
    <mergeCell ref="G6:I7"/>
    <mergeCell ref="P8:P9"/>
  </mergeCells>
  <phoneticPr fontId="0" type="noConversion"/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AC33 D33 F33 F39 W33:W34 E39 E33" formula="1"/>
    <ignoredError sqref="W9 Y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886D-ECCE-4057-9705-528C70DBE432}">
  <sheetPr>
    <pageSetUpPr fitToPage="1"/>
  </sheetPr>
  <dimension ref="A1:AZ77"/>
  <sheetViews>
    <sheetView showGridLines="0" showZeros="0" topLeftCell="J7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729010.09789999994</v>
      </c>
      <c r="C10" s="2">
        <v>322094.03531974769</v>
      </c>
      <c r="D10" s="89">
        <f>B10+C10</f>
        <v>1051104.1332197476</v>
      </c>
      <c r="E10" s="2">
        <v>35.008399999999995</v>
      </c>
      <c r="F10" s="89">
        <f>D10+E10</f>
        <v>1051139.1416197475</v>
      </c>
      <c r="G10" s="2">
        <v>0</v>
      </c>
      <c r="H10" s="2">
        <v>0</v>
      </c>
      <c r="I10" s="2">
        <v>0</v>
      </c>
      <c r="J10" s="2">
        <v>8878.8909999999996</v>
      </c>
      <c r="K10" s="2">
        <v>2113.8044</v>
      </c>
      <c r="L10" s="2">
        <v>0</v>
      </c>
      <c r="M10" s="2">
        <v>16196.0165</v>
      </c>
      <c r="N10" s="2">
        <v>3303.0207</v>
      </c>
      <c r="O10" s="2">
        <v>7114.5330999999996</v>
      </c>
      <c r="P10" s="2">
        <v>0</v>
      </c>
      <c r="Q10" s="2">
        <v>10646.288199999999</v>
      </c>
      <c r="R10" s="2">
        <v>0</v>
      </c>
      <c r="S10" s="2">
        <v>0</v>
      </c>
      <c r="T10" s="2">
        <v>0</v>
      </c>
      <c r="U10" s="2">
        <v>0</v>
      </c>
      <c r="V10" s="2">
        <v>6494.0549000000001</v>
      </c>
      <c r="W10" s="89">
        <f t="shared" ref="W10:W32" si="0">SUM(F10:V10)</f>
        <v>1105885.7504197476</v>
      </c>
      <c r="X10" s="3"/>
      <c r="Y10" s="39">
        <v>148392.22721399998</v>
      </c>
      <c r="Z10" s="40"/>
      <c r="AA10" s="97">
        <v>0</v>
      </c>
      <c r="AB10" s="3"/>
      <c r="AC10" s="89">
        <f>+W10+Y10+AA10</f>
        <v>1254277.9776337475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116821.804</v>
      </c>
      <c r="C11" s="2">
        <v>15012.857578443254</v>
      </c>
      <c r="D11" s="89">
        <f t="shared" ref="D11:D32" si="1">B11+C11</f>
        <v>131834.66157844325</v>
      </c>
      <c r="E11" s="2">
        <v>1.7832999999999999</v>
      </c>
      <c r="F11" s="89">
        <f t="shared" ref="F11:F32" si="2">D11+E11</f>
        <v>131836.44487844326</v>
      </c>
      <c r="G11" s="2">
        <v>0</v>
      </c>
      <c r="H11" s="2">
        <v>0</v>
      </c>
      <c r="I11" s="2">
        <v>0</v>
      </c>
      <c r="J11" s="2">
        <v>1113.6342999999999</v>
      </c>
      <c r="K11" s="2">
        <v>0</v>
      </c>
      <c r="L11" s="2">
        <v>0</v>
      </c>
      <c r="M11" s="2">
        <v>0</v>
      </c>
      <c r="N11" s="2">
        <v>414.28750000000002</v>
      </c>
      <c r="O11" s="2">
        <v>730.36300000000006</v>
      </c>
      <c r="P11" s="2">
        <v>0</v>
      </c>
      <c r="Q11" s="2">
        <v>1541.8761999999999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814.52880000000005</v>
      </c>
      <c r="W11" s="89">
        <f t="shared" si="0"/>
        <v>136453.33467844329</v>
      </c>
      <c r="X11" s="3"/>
      <c r="Y11" s="39">
        <v>4795.4823339999994</v>
      </c>
      <c r="Z11" s="40"/>
      <c r="AA11" s="41">
        <v>0</v>
      </c>
      <c r="AB11" s="3"/>
      <c r="AC11" s="89">
        <f t="shared" ref="AC11:AC38" si="3">+W11+Y11+AA11</f>
        <v>141248.81701244329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355985.29710000003</v>
      </c>
      <c r="C12" s="2">
        <v>69020.150425570289</v>
      </c>
      <c r="D12" s="89">
        <f t="shared" si="1"/>
        <v>425005.44752557029</v>
      </c>
      <c r="E12" s="2">
        <v>10.441700000000001</v>
      </c>
      <c r="F12" s="89">
        <f>D12+E12</f>
        <v>425015.88922557031</v>
      </c>
      <c r="G12" s="2">
        <v>0</v>
      </c>
      <c r="H12" s="2">
        <v>0</v>
      </c>
      <c r="I12" s="2">
        <v>0</v>
      </c>
      <c r="J12" s="2">
        <v>3590.1077</v>
      </c>
      <c r="K12" s="2">
        <v>721.87330000000009</v>
      </c>
      <c r="L12" s="2">
        <v>0</v>
      </c>
      <c r="M12" s="2">
        <v>5531.0090999999993</v>
      </c>
      <c r="N12" s="2">
        <v>1335.558</v>
      </c>
      <c r="O12" s="2">
        <v>3197.1127999999999</v>
      </c>
      <c r="P12" s="2">
        <v>0</v>
      </c>
      <c r="Q12" s="2">
        <v>4148.3813</v>
      </c>
      <c r="R12" s="2">
        <v>0</v>
      </c>
      <c r="S12" s="2">
        <v>0</v>
      </c>
      <c r="T12" s="2">
        <v>0</v>
      </c>
      <c r="U12" s="2">
        <v>0.5</v>
      </c>
      <c r="V12" s="2">
        <v>2625.8348999999998</v>
      </c>
      <c r="W12" s="89">
        <f t="shared" si="0"/>
        <v>446166.26632557035</v>
      </c>
      <c r="X12" s="3"/>
      <c r="Y12" s="39">
        <v>4691.9570400000002</v>
      </c>
      <c r="Z12" s="40"/>
      <c r="AA12" s="41">
        <v>0</v>
      </c>
      <c r="AB12" s="3"/>
      <c r="AC12" s="89">
        <f t="shared" si="3"/>
        <v>450858.22336557036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146540.17669999998</v>
      </c>
      <c r="C13" s="2">
        <v>31390.520391290444</v>
      </c>
      <c r="D13" s="89">
        <f t="shared" si="1"/>
        <v>177930.69709129044</v>
      </c>
      <c r="E13" s="2">
        <v>3.2166999999999999</v>
      </c>
      <c r="F13" s="89">
        <f t="shared" si="2"/>
        <v>177933.91379129043</v>
      </c>
      <c r="G13" s="2">
        <v>0</v>
      </c>
      <c r="H13" s="2">
        <v>0</v>
      </c>
      <c r="I13" s="2">
        <v>0</v>
      </c>
      <c r="J13" s="2">
        <v>1503.0168999999999</v>
      </c>
      <c r="K13" s="2">
        <v>230.82160000000002</v>
      </c>
      <c r="L13" s="2">
        <v>0</v>
      </c>
      <c r="M13" s="2">
        <v>1768.5605</v>
      </c>
      <c r="N13" s="2">
        <v>559.13760000000002</v>
      </c>
      <c r="O13" s="2">
        <v>941.74259999999992</v>
      </c>
      <c r="P13" s="2">
        <v>0</v>
      </c>
      <c r="Q13" s="2">
        <v>3634.4225000000001</v>
      </c>
      <c r="R13" s="2">
        <v>0</v>
      </c>
      <c r="S13" s="2">
        <v>0</v>
      </c>
      <c r="T13" s="2">
        <v>0</v>
      </c>
      <c r="U13" s="2">
        <v>1.5</v>
      </c>
      <c r="V13" s="2">
        <v>1099.3181000000002</v>
      </c>
      <c r="W13" s="89">
        <f t="shared" si="0"/>
        <v>187672.43359129038</v>
      </c>
      <c r="X13" s="3"/>
      <c r="Y13" s="39">
        <v>5764.0152240000007</v>
      </c>
      <c r="Z13" s="40"/>
      <c r="AA13" s="41">
        <v>0</v>
      </c>
      <c r="AB13" s="3"/>
      <c r="AC13" s="89">
        <f t="shared" si="3"/>
        <v>193436.44881529038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202707.61139999999</v>
      </c>
      <c r="C14" s="2">
        <v>36069.852623532512</v>
      </c>
      <c r="D14" s="89">
        <f t="shared" si="1"/>
        <v>238777.46402353252</v>
      </c>
      <c r="E14" s="2">
        <v>2.8</v>
      </c>
      <c r="F14" s="89">
        <f t="shared" si="2"/>
        <v>238780.26402353251</v>
      </c>
      <c r="G14" s="2">
        <v>0</v>
      </c>
      <c r="H14" s="2">
        <v>0</v>
      </c>
      <c r="I14" s="2">
        <v>0</v>
      </c>
      <c r="J14" s="2">
        <v>2017.0019</v>
      </c>
      <c r="K14" s="2">
        <v>181.465</v>
      </c>
      <c r="L14" s="2">
        <v>0</v>
      </c>
      <c r="M14" s="2">
        <v>1390.3888999999999</v>
      </c>
      <c r="N14" s="2">
        <v>750.35069999999996</v>
      </c>
      <c r="O14" s="2">
        <v>953.2604</v>
      </c>
      <c r="P14" s="2">
        <v>0</v>
      </c>
      <c r="Q14" s="2">
        <v>3377.4432000000002</v>
      </c>
      <c r="R14" s="2">
        <v>0</v>
      </c>
      <c r="S14" s="2">
        <v>0</v>
      </c>
      <c r="T14" s="2">
        <v>0</v>
      </c>
      <c r="U14" s="2">
        <v>0.5</v>
      </c>
      <c r="V14" s="2">
        <v>1475.2613999999999</v>
      </c>
      <c r="W14" s="89">
        <f t="shared" si="0"/>
        <v>248925.93552353251</v>
      </c>
      <c r="X14" s="3"/>
      <c r="Y14" s="39">
        <v>7029.5360939999991</v>
      </c>
      <c r="Z14" s="40"/>
      <c r="AA14" s="41">
        <v>0</v>
      </c>
      <c r="AB14" s="3"/>
      <c r="AC14" s="89">
        <f t="shared" si="3"/>
        <v>255955.47161753252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61074.434500000003</v>
      </c>
      <c r="C15" s="2">
        <v>14622.91322575642</v>
      </c>
      <c r="D15" s="89">
        <f t="shared" si="1"/>
        <v>75697.347725756423</v>
      </c>
      <c r="E15" s="2">
        <v>2.0167000000000002</v>
      </c>
      <c r="F15" s="89">
        <f t="shared" si="2"/>
        <v>75699.364425756416</v>
      </c>
      <c r="G15" s="2">
        <v>0</v>
      </c>
      <c r="H15" s="2">
        <v>0</v>
      </c>
      <c r="I15" s="2">
        <v>0</v>
      </c>
      <c r="J15" s="2">
        <v>639.43090000000007</v>
      </c>
      <c r="K15" s="2">
        <v>70.985699999999994</v>
      </c>
      <c r="L15" s="2">
        <v>0</v>
      </c>
      <c r="M15" s="2">
        <v>543.89409999999998</v>
      </c>
      <c r="N15" s="2">
        <v>237.8801</v>
      </c>
      <c r="O15" s="2">
        <v>831.524</v>
      </c>
      <c r="P15" s="2">
        <v>0</v>
      </c>
      <c r="Q15" s="2">
        <v>2349.5257000000001</v>
      </c>
      <c r="R15" s="2">
        <v>0</v>
      </c>
      <c r="S15" s="2">
        <v>0</v>
      </c>
      <c r="T15" s="2">
        <v>0</v>
      </c>
      <c r="U15" s="2">
        <v>3</v>
      </c>
      <c r="V15" s="2">
        <v>467.69509999999997</v>
      </c>
      <c r="W15" s="89">
        <f t="shared" si="0"/>
        <v>80843.300025756427</v>
      </c>
      <c r="X15" s="3"/>
      <c r="Y15" s="39">
        <v>1334.7696599999999</v>
      </c>
      <c r="Z15" s="40"/>
      <c r="AA15" s="41">
        <v>0</v>
      </c>
      <c r="AB15" s="3"/>
      <c r="AC15" s="89">
        <f t="shared" si="3"/>
        <v>82178.069685756433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203193.75450000001</v>
      </c>
      <c r="C16" s="2">
        <v>30513.145597745053</v>
      </c>
      <c r="D16" s="89">
        <f t="shared" si="1"/>
        <v>233706.90009774506</v>
      </c>
      <c r="E16" s="2">
        <v>5.6249000000000002</v>
      </c>
      <c r="F16" s="89">
        <f t="shared" si="2"/>
        <v>233712.52499774506</v>
      </c>
      <c r="G16" s="2">
        <v>0</v>
      </c>
      <c r="H16" s="2">
        <v>0</v>
      </c>
      <c r="I16" s="2">
        <v>0</v>
      </c>
      <c r="J16" s="2">
        <v>1974.1698999999999</v>
      </c>
      <c r="K16" s="2">
        <v>313.27719999999994</v>
      </c>
      <c r="L16" s="2">
        <v>0</v>
      </c>
      <c r="M16" s="2">
        <v>2400.3361999999997</v>
      </c>
      <c r="N16" s="2">
        <v>734.4049</v>
      </c>
      <c r="O16" s="2">
        <v>1200.2125000000001</v>
      </c>
      <c r="P16" s="2">
        <v>0</v>
      </c>
      <c r="Q16" s="2">
        <v>2863.4843999999998</v>
      </c>
      <c r="R16" s="2">
        <v>0</v>
      </c>
      <c r="S16" s="2">
        <v>0</v>
      </c>
      <c r="T16" s="2">
        <v>0</v>
      </c>
      <c r="U16" s="2">
        <v>1.8</v>
      </c>
      <c r="V16" s="2">
        <v>1443.9103</v>
      </c>
      <c r="W16" s="89">
        <f t="shared" si="0"/>
        <v>244644.12039774502</v>
      </c>
      <c r="X16" s="3"/>
      <c r="Y16" s="39">
        <v>3232.2432599999997</v>
      </c>
      <c r="Z16" s="40"/>
      <c r="AA16" s="41">
        <v>0</v>
      </c>
      <c r="AB16" s="3"/>
      <c r="AC16" s="89">
        <f t="shared" si="3"/>
        <v>247876.36365774501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153673.4497</v>
      </c>
      <c r="C17" s="2">
        <v>20569.564604230687</v>
      </c>
      <c r="D17" s="89">
        <f t="shared" si="1"/>
        <v>174243.01430423069</v>
      </c>
      <c r="E17" s="2">
        <v>1.7251000000000001</v>
      </c>
      <c r="F17" s="89">
        <f t="shared" si="2"/>
        <v>174244.7394042307</v>
      </c>
      <c r="G17" s="2">
        <v>0</v>
      </c>
      <c r="H17" s="2">
        <v>0</v>
      </c>
      <c r="I17" s="2">
        <v>0</v>
      </c>
      <c r="J17" s="2">
        <v>1471.8663000000001</v>
      </c>
      <c r="K17" s="2">
        <v>84.529899999999998</v>
      </c>
      <c r="L17" s="2">
        <v>0</v>
      </c>
      <c r="M17" s="2">
        <v>647.6703</v>
      </c>
      <c r="N17" s="2">
        <v>547.55449999999996</v>
      </c>
      <c r="O17" s="2">
        <v>642.27539999999999</v>
      </c>
      <c r="P17" s="2">
        <v>0</v>
      </c>
      <c r="Q17" s="2">
        <v>2936.9070999999999</v>
      </c>
      <c r="R17" s="2">
        <v>0</v>
      </c>
      <c r="S17" s="2">
        <v>0</v>
      </c>
      <c r="T17" s="2">
        <v>0</v>
      </c>
      <c r="U17" s="2">
        <v>2.2000000000000002</v>
      </c>
      <c r="V17" s="2">
        <v>1076.5445</v>
      </c>
      <c r="W17" s="89">
        <f t="shared" si="0"/>
        <v>181654.28740423071</v>
      </c>
      <c r="X17" s="3"/>
      <c r="Y17" s="39">
        <v>3459.6378719999998</v>
      </c>
      <c r="Z17" s="40"/>
      <c r="AA17" s="41">
        <v>0</v>
      </c>
      <c r="AB17" s="3"/>
      <c r="AC17" s="89">
        <f t="shared" si="3"/>
        <v>185113.9252762307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116193.62890000001</v>
      </c>
      <c r="C18" s="2">
        <v>19789.675898857007</v>
      </c>
      <c r="D18" s="89">
        <f t="shared" si="1"/>
        <v>135983.30479885702</v>
      </c>
      <c r="E18" s="2">
        <v>2.7749999999999999</v>
      </c>
      <c r="F18" s="89">
        <f t="shared" si="2"/>
        <v>135986.07979885701</v>
      </c>
      <c r="G18" s="2">
        <v>0</v>
      </c>
      <c r="H18" s="2">
        <v>0</v>
      </c>
      <c r="I18" s="2">
        <v>0</v>
      </c>
      <c r="J18" s="2">
        <v>1148.6786999999999</v>
      </c>
      <c r="K18" s="2">
        <v>0</v>
      </c>
      <c r="L18" s="2">
        <v>0</v>
      </c>
      <c r="M18" s="2">
        <v>0</v>
      </c>
      <c r="N18" s="2">
        <v>427.31470000000002</v>
      </c>
      <c r="O18" s="2">
        <v>713.92830000000004</v>
      </c>
      <c r="P18" s="2">
        <v>0</v>
      </c>
      <c r="Q18" s="2">
        <v>2202.6803</v>
      </c>
      <c r="R18" s="2">
        <v>0</v>
      </c>
      <c r="S18" s="2">
        <v>0</v>
      </c>
      <c r="T18" s="2">
        <v>0</v>
      </c>
      <c r="U18" s="2">
        <v>2.2000000000000002</v>
      </c>
      <c r="V18" s="2">
        <v>840.14159999999993</v>
      </c>
      <c r="W18" s="89">
        <f t="shared" si="0"/>
        <v>141321.02339885701</v>
      </c>
      <c r="X18" s="3"/>
      <c r="Y18" s="39">
        <v>3350.1344759999997</v>
      </c>
      <c r="Z18" s="40"/>
      <c r="AA18" s="41">
        <v>0</v>
      </c>
      <c r="AB18" s="3"/>
      <c r="AC18" s="89">
        <f t="shared" si="3"/>
        <v>144671.15787485702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81295.474400000006</v>
      </c>
      <c r="C19" s="2">
        <v>10333.525346201193</v>
      </c>
      <c r="D19" s="89">
        <f t="shared" si="1"/>
        <v>91628.999746201196</v>
      </c>
      <c r="E19" s="2">
        <v>1.6</v>
      </c>
      <c r="F19" s="89">
        <f t="shared" si="2"/>
        <v>91630.599746201202</v>
      </c>
      <c r="G19" s="2">
        <v>0</v>
      </c>
      <c r="H19" s="2">
        <v>0</v>
      </c>
      <c r="I19" s="2">
        <v>0</v>
      </c>
      <c r="J19" s="2">
        <v>774.00069999999994</v>
      </c>
      <c r="K19" s="2">
        <v>62.334699999999998</v>
      </c>
      <c r="L19" s="2">
        <v>1.4999999999999999E-7</v>
      </c>
      <c r="M19" s="2">
        <v>477.61840000000001</v>
      </c>
      <c r="N19" s="2">
        <v>287.9341</v>
      </c>
      <c r="O19" s="2">
        <v>901.10599999999999</v>
      </c>
      <c r="P19" s="2">
        <v>0</v>
      </c>
      <c r="Q19" s="2">
        <v>1496.8878</v>
      </c>
      <c r="R19" s="2">
        <v>0</v>
      </c>
      <c r="S19" s="2">
        <v>0</v>
      </c>
      <c r="T19" s="2">
        <v>0</v>
      </c>
      <c r="U19" s="2">
        <v>2.5</v>
      </c>
      <c r="V19" s="2">
        <v>566.10850000000005</v>
      </c>
      <c r="W19" s="89">
        <f t="shared" si="0"/>
        <v>96199.089946351218</v>
      </c>
      <c r="X19" s="3"/>
      <c r="Y19" s="39">
        <v>0</v>
      </c>
      <c r="Z19" s="40"/>
      <c r="AA19" s="41">
        <v>0</v>
      </c>
      <c r="AB19" s="3"/>
      <c r="AC19" s="89">
        <f t="shared" si="3"/>
        <v>96199.089946351218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87408.145799999998</v>
      </c>
      <c r="C20" s="2">
        <v>11698.330580605138</v>
      </c>
      <c r="D20" s="89">
        <f t="shared" si="1"/>
        <v>99106.476380605134</v>
      </c>
      <c r="E20" s="2">
        <v>1.6916</v>
      </c>
      <c r="F20" s="89">
        <f t="shared" si="2"/>
        <v>99108.16798060514</v>
      </c>
      <c r="G20" s="2">
        <v>0</v>
      </c>
      <c r="H20" s="2">
        <v>0</v>
      </c>
      <c r="I20" s="2">
        <v>0</v>
      </c>
      <c r="J20" s="2">
        <v>837.17259999999999</v>
      </c>
      <c r="K20" s="2">
        <v>0</v>
      </c>
      <c r="L20" s="2">
        <v>0</v>
      </c>
      <c r="M20" s="2">
        <v>0</v>
      </c>
      <c r="N20" s="2">
        <v>311.43770000000001</v>
      </c>
      <c r="O20" s="2">
        <v>556.85530000000006</v>
      </c>
      <c r="P20" s="2">
        <v>0</v>
      </c>
      <c r="Q20" s="2">
        <v>1468.4536000000001</v>
      </c>
      <c r="R20" s="2">
        <v>0</v>
      </c>
      <c r="S20" s="2">
        <v>0</v>
      </c>
      <c r="T20" s="2">
        <v>0</v>
      </c>
      <c r="U20" s="2">
        <v>2.2000000000000002</v>
      </c>
      <c r="V20" s="2">
        <v>612.31619999999998</v>
      </c>
      <c r="W20" s="89">
        <f t="shared" si="0"/>
        <v>102896.60338060513</v>
      </c>
      <c r="X20" s="3"/>
      <c r="Y20" s="39">
        <v>1041.800886</v>
      </c>
      <c r="Z20" s="40"/>
      <c r="AA20" s="41">
        <v>0</v>
      </c>
      <c r="AB20" s="3"/>
      <c r="AC20" s="89">
        <f t="shared" si="3"/>
        <v>103938.40426660512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154947.20540000001</v>
      </c>
      <c r="C21" s="2">
        <v>44648.628382642884</v>
      </c>
      <c r="D21" s="89">
        <f t="shared" si="1"/>
        <v>199595.83378264291</v>
      </c>
      <c r="E21" s="2">
        <v>5.1416000000000004</v>
      </c>
      <c r="F21" s="89">
        <f t="shared" si="2"/>
        <v>199600.97538264291</v>
      </c>
      <c r="G21" s="2">
        <v>0</v>
      </c>
      <c r="H21" s="2">
        <v>0</v>
      </c>
      <c r="I21" s="2">
        <v>0</v>
      </c>
      <c r="J21" s="2">
        <v>1686.0266999999999</v>
      </c>
      <c r="K21" s="2">
        <v>0</v>
      </c>
      <c r="L21" s="2">
        <v>0</v>
      </c>
      <c r="M21" s="2">
        <v>0</v>
      </c>
      <c r="N21" s="2">
        <v>627.22280000000001</v>
      </c>
      <c r="O21" s="2">
        <v>1304.0482</v>
      </c>
      <c r="P21" s="2">
        <v>0</v>
      </c>
      <c r="Q21" s="2">
        <v>2936.9070999999999</v>
      </c>
      <c r="R21" s="2">
        <v>0</v>
      </c>
      <c r="S21" s="2">
        <v>0</v>
      </c>
      <c r="T21" s="2">
        <v>0</v>
      </c>
      <c r="U21" s="2">
        <v>2.2000000000000002</v>
      </c>
      <c r="V21" s="2">
        <v>1233.1801</v>
      </c>
      <c r="W21" s="89">
        <f t="shared" si="0"/>
        <v>207390.56028264289</v>
      </c>
      <c r="X21" s="3"/>
      <c r="Y21" s="39">
        <v>4910.5898640000005</v>
      </c>
      <c r="Z21" s="40"/>
      <c r="AA21" s="41">
        <v>0</v>
      </c>
      <c r="AB21" s="3"/>
      <c r="AC21" s="89">
        <f t="shared" si="3"/>
        <v>212301.1501466429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119797.3692</v>
      </c>
      <c r="C22" s="2">
        <v>38312.032651481793</v>
      </c>
      <c r="D22" s="89">
        <f t="shared" si="1"/>
        <v>158109.40185148179</v>
      </c>
      <c r="E22" s="2">
        <v>2.8416999999999999</v>
      </c>
      <c r="F22" s="89">
        <f t="shared" si="2"/>
        <v>158112.24355148178</v>
      </c>
      <c r="G22" s="2">
        <v>0</v>
      </c>
      <c r="H22" s="2">
        <v>0</v>
      </c>
      <c r="I22" s="2">
        <v>0</v>
      </c>
      <c r="J22" s="2">
        <v>1335.5824</v>
      </c>
      <c r="K22" s="2">
        <v>99.102199999999996</v>
      </c>
      <c r="L22" s="2">
        <v>0</v>
      </c>
      <c r="M22" s="2">
        <v>759.3229</v>
      </c>
      <c r="N22" s="2">
        <v>496.84399999999999</v>
      </c>
      <c r="O22" s="2">
        <v>871.72259999999994</v>
      </c>
      <c r="P22" s="2">
        <v>0</v>
      </c>
      <c r="Q22" s="2">
        <v>3450.8658</v>
      </c>
      <c r="R22" s="2">
        <v>0</v>
      </c>
      <c r="S22" s="2">
        <v>0</v>
      </c>
      <c r="T22" s="2">
        <v>0</v>
      </c>
      <c r="U22" s="2">
        <v>2.2000000000000002</v>
      </c>
      <c r="V22" s="2">
        <v>976.84289999999999</v>
      </c>
      <c r="W22" s="89">
        <f t="shared" si="0"/>
        <v>166104.7263514818</v>
      </c>
      <c r="X22" s="3"/>
      <c r="Y22" s="39">
        <v>6497.98038</v>
      </c>
      <c r="Z22" s="40"/>
      <c r="AA22" s="41">
        <v>0</v>
      </c>
      <c r="AB22" s="3"/>
      <c r="AC22" s="89">
        <f t="shared" si="3"/>
        <v>172602.7067314818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66500.078399999999</v>
      </c>
      <c r="C23" s="2">
        <v>16572.634989190603</v>
      </c>
      <c r="D23" s="89">
        <f t="shared" si="1"/>
        <v>83072.713389190598</v>
      </c>
      <c r="E23" s="2">
        <v>1.4499</v>
      </c>
      <c r="F23" s="89">
        <f t="shared" si="2"/>
        <v>83074.163289190605</v>
      </c>
      <c r="G23" s="2">
        <v>0</v>
      </c>
      <c r="H23" s="2">
        <v>0</v>
      </c>
      <c r="I23" s="2">
        <v>0</v>
      </c>
      <c r="J23" s="2">
        <v>701.73219999999992</v>
      </c>
      <c r="K23" s="2">
        <v>44.569000000000003</v>
      </c>
      <c r="L23" s="2">
        <v>0</v>
      </c>
      <c r="M23" s="2">
        <v>341.48880000000003</v>
      </c>
      <c r="N23" s="2">
        <v>261.04640000000001</v>
      </c>
      <c r="O23" s="2">
        <v>1108.9016999999999</v>
      </c>
      <c r="P23" s="2">
        <v>0</v>
      </c>
      <c r="Q23" s="2">
        <v>3157.1750999999999</v>
      </c>
      <c r="R23" s="2">
        <v>0</v>
      </c>
      <c r="S23" s="2">
        <v>0</v>
      </c>
      <c r="T23" s="2">
        <v>0</v>
      </c>
      <c r="U23" s="2">
        <v>2.5</v>
      </c>
      <c r="V23" s="2">
        <v>513.24220000000003</v>
      </c>
      <c r="W23" s="89">
        <f t="shared" si="0"/>
        <v>89204.818689190608</v>
      </c>
      <c r="X23" s="3"/>
      <c r="Y23" s="39">
        <v>1797.6669299999999</v>
      </c>
      <c r="Z23" s="40"/>
      <c r="AA23" s="41">
        <v>0</v>
      </c>
      <c r="AB23" s="3"/>
      <c r="AC23" s="89">
        <f t="shared" si="3"/>
        <v>91002.485619190615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102931.65890000001</v>
      </c>
      <c r="C24" s="2">
        <v>17839.954135422839</v>
      </c>
      <c r="D24" s="89">
        <f t="shared" si="1"/>
        <v>120771.61303542285</v>
      </c>
      <c r="E24" s="2">
        <v>1.2167000000000001</v>
      </c>
      <c r="F24" s="89">
        <f t="shared" si="2"/>
        <v>120772.82973542286</v>
      </c>
      <c r="G24" s="2">
        <v>0</v>
      </c>
      <c r="H24" s="2">
        <v>0</v>
      </c>
      <c r="I24" s="2">
        <v>0</v>
      </c>
      <c r="J24" s="2">
        <v>1020.1824</v>
      </c>
      <c r="K24" s="2">
        <v>0</v>
      </c>
      <c r="L24" s="2">
        <v>0</v>
      </c>
      <c r="M24" s="2">
        <v>0</v>
      </c>
      <c r="N24" s="2">
        <v>379.52279999999996</v>
      </c>
      <c r="O24" s="2">
        <v>840.3347</v>
      </c>
      <c r="P24" s="2">
        <v>0</v>
      </c>
      <c r="Q24" s="2">
        <v>3304.0205000000001</v>
      </c>
      <c r="R24" s="2">
        <v>0</v>
      </c>
      <c r="S24" s="2">
        <v>0</v>
      </c>
      <c r="T24" s="2">
        <v>0</v>
      </c>
      <c r="U24" s="2">
        <v>2.5</v>
      </c>
      <c r="V24" s="2">
        <v>746.17819999999995</v>
      </c>
      <c r="W24" s="89">
        <f t="shared" si="0"/>
        <v>127065.56833542287</v>
      </c>
      <c r="X24" s="3"/>
      <c r="Y24" s="39">
        <v>1676.6955719999999</v>
      </c>
      <c r="Z24" s="40"/>
      <c r="AA24" s="41">
        <v>0</v>
      </c>
      <c r="AB24" s="3"/>
      <c r="AC24" s="89">
        <f t="shared" si="3"/>
        <v>128742.26390742286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146417.5079</v>
      </c>
      <c r="C25" s="2">
        <v>37044.713505249543</v>
      </c>
      <c r="D25" s="89">
        <f t="shared" si="1"/>
        <v>183462.22140524955</v>
      </c>
      <c r="E25" s="2">
        <v>3.3167</v>
      </c>
      <c r="F25" s="89">
        <f t="shared" si="2"/>
        <v>183465.53810524955</v>
      </c>
      <c r="G25" s="2">
        <v>0</v>
      </c>
      <c r="H25" s="2">
        <v>0</v>
      </c>
      <c r="I25" s="2">
        <v>0</v>
      </c>
      <c r="J25" s="2">
        <v>1549.7428</v>
      </c>
      <c r="K25" s="2">
        <v>0</v>
      </c>
      <c r="L25" s="2">
        <v>0</v>
      </c>
      <c r="M25" s="2">
        <v>0</v>
      </c>
      <c r="N25" s="2">
        <v>576.52750000000003</v>
      </c>
      <c r="O25" s="2">
        <v>1001.501</v>
      </c>
      <c r="P25" s="2">
        <v>0</v>
      </c>
      <c r="Q25" s="2">
        <v>2936.9070999999999</v>
      </c>
      <c r="R25" s="2">
        <v>0</v>
      </c>
      <c r="S25" s="2">
        <v>0</v>
      </c>
      <c r="T25" s="2">
        <v>0</v>
      </c>
      <c r="U25" s="2">
        <v>2.5</v>
      </c>
      <c r="V25" s="2">
        <v>1133.5083</v>
      </c>
      <c r="W25" s="89">
        <f t="shared" si="0"/>
        <v>190666.22480524954</v>
      </c>
      <c r="X25" s="3"/>
      <c r="Y25" s="39">
        <v>18158.867118000002</v>
      </c>
      <c r="Z25" s="40"/>
      <c r="AA25" s="41">
        <v>0</v>
      </c>
      <c r="AB25" s="3"/>
      <c r="AC25" s="89">
        <f t="shared" si="3"/>
        <v>208825.09192324954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137523.04869999998</v>
      </c>
      <c r="C26" s="2">
        <v>24274.035954755662</v>
      </c>
      <c r="D26" s="89">
        <f t="shared" si="1"/>
        <v>161797.08465475566</v>
      </c>
      <c r="E26" s="2">
        <v>2.5083000000000002</v>
      </c>
      <c r="F26" s="89">
        <f t="shared" si="2"/>
        <v>161799.59295475564</v>
      </c>
      <c r="G26" s="2">
        <v>0</v>
      </c>
      <c r="H26" s="2">
        <v>0</v>
      </c>
      <c r="I26" s="2">
        <v>0</v>
      </c>
      <c r="J26" s="2">
        <v>1366.7329999999999</v>
      </c>
      <c r="K26" s="2">
        <v>0</v>
      </c>
      <c r="L26" s="2">
        <v>0</v>
      </c>
      <c r="M26" s="2">
        <v>0</v>
      </c>
      <c r="N26" s="2">
        <v>508.44229999999999</v>
      </c>
      <c r="O26" s="2">
        <v>746.24040000000002</v>
      </c>
      <c r="P26" s="2">
        <v>0</v>
      </c>
      <c r="Q26" s="2">
        <v>2679.9277000000002</v>
      </c>
      <c r="R26" s="2">
        <v>0</v>
      </c>
      <c r="S26" s="2">
        <v>0</v>
      </c>
      <c r="T26" s="2">
        <v>0</v>
      </c>
      <c r="U26" s="2">
        <v>2.2000000000000002</v>
      </c>
      <c r="V26" s="2">
        <v>999.6463</v>
      </c>
      <c r="W26" s="89">
        <f t="shared" si="0"/>
        <v>168102.78265475566</v>
      </c>
      <c r="X26" s="3"/>
      <c r="Y26" s="39">
        <v>2107.835028</v>
      </c>
      <c r="Z26" s="40"/>
      <c r="AA26" s="41">
        <v>0</v>
      </c>
      <c r="AB26" s="3"/>
      <c r="AC26" s="89">
        <f t="shared" si="3"/>
        <v>170210.61768275566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95112.121400000004</v>
      </c>
      <c r="C27" s="2">
        <v>14135.482784897871</v>
      </c>
      <c r="D27" s="89">
        <f t="shared" si="1"/>
        <v>109247.60418489788</v>
      </c>
      <c r="E27" s="2">
        <v>1.5751000000000002</v>
      </c>
      <c r="F27" s="89">
        <f t="shared" si="2"/>
        <v>109249.17928489788</v>
      </c>
      <c r="G27" s="2">
        <v>0</v>
      </c>
      <c r="H27" s="2">
        <v>0</v>
      </c>
      <c r="I27" s="2">
        <v>0</v>
      </c>
      <c r="J27" s="2">
        <v>922.83680000000004</v>
      </c>
      <c r="K27" s="2">
        <v>0</v>
      </c>
      <c r="L27" s="2">
        <v>0</v>
      </c>
      <c r="M27" s="2">
        <v>0</v>
      </c>
      <c r="N27" s="2">
        <v>343.2989</v>
      </c>
      <c r="O27" s="2">
        <v>581.25229999999999</v>
      </c>
      <c r="P27" s="2">
        <v>0</v>
      </c>
      <c r="Q27" s="2">
        <v>2679.9277000000002</v>
      </c>
      <c r="R27" s="2">
        <v>0</v>
      </c>
      <c r="S27" s="2">
        <v>0</v>
      </c>
      <c r="T27" s="2">
        <v>0</v>
      </c>
      <c r="U27" s="2">
        <v>2.2000000000000002</v>
      </c>
      <c r="V27" s="2">
        <v>674.95849999999996</v>
      </c>
      <c r="W27" s="89">
        <f t="shared" si="0"/>
        <v>114453.65348489786</v>
      </c>
      <c r="X27" s="3"/>
      <c r="Y27" s="39">
        <v>0</v>
      </c>
      <c r="Z27" s="40"/>
      <c r="AA27" s="41">
        <v>0</v>
      </c>
      <c r="AB27" s="3"/>
      <c r="AC27" s="89">
        <f t="shared" si="3"/>
        <v>114453.65348489786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68288.404999999999</v>
      </c>
      <c r="C28" s="2">
        <v>7408.942701049923</v>
      </c>
      <c r="D28" s="89">
        <f t="shared" si="1"/>
        <v>75697.347701049919</v>
      </c>
      <c r="E28" s="2">
        <v>0.70829999999999993</v>
      </c>
      <c r="F28" s="89">
        <f t="shared" si="2"/>
        <v>75698.056001049918</v>
      </c>
      <c r="G28" s="2">
        <v>0</v>
      </c>
      <c r="H28" s="2">
        <v>0</v>
      </c>
      <c r="I28" s="2">
        <v>0</v>
      </c>
      <c r="J28" s="2">
        <v>639.43090000000007</v>
      </c>
      <c r="K28" s="2">
        <v>57.788699999999999</v>
      </c>
      <c r="L28" s="2">
        <v>0</v>
      </c>
      <c r="M28" s="2">
        <v>442.77850000000001</v>
      </c>
      <c r="N28" s="2">
        <v>237.8801</v>
      </c>
      <c r="O28" s="2">
        <v>669.3596</v>
      </c>
      <c r="P28" s="2">
        <v>0</v>
      </c>
      <c r="Q28" s="2">
        <v>2349.5257000000001</v>
      </c>
      <c r="R28" s="2">
        <v>0</v>
      </c>
      <c r="S28" s="2">
        <v>0</v>
      </c>
      <c r="T28" s="2">
        <v>0</v>
      </c>
      <c r="U28" s="2">
        <v>3</v>
      </c>
      <c r="V28" s="2">
        <v>467.69509999999997</v>
      </c>
      <c r="W28" s="89">
        <f t="shared" si="0"/>
        <v>80565.514601049916</v>
      </c>
      <c r="X28" s="3"/>
      <c r="Y28" s="39">
        <v>283.92672600000003</v>
      </c>
      <c r="Z28" s="40"/>
      <c r="AA28" s="41">
        <v>0</v>
      </c>
      <c r="AB28" s="3"/>
      <c r="AC28" s="89">
        <f t="shared" si="3"/>
        <v>80849.441327049921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370744.3812</v>
      </c>
      <c r="C29" s="2">
        <v>65315.679075045402</v>
      </c>
      <c r="D29" s="89">
        <f t="shared" si="1"/>
        <v>436060.0602750454</v>
      </c>
      <c r="E29" s="2">
        <v>11.290799999999999</v>
      </c>
      <c r="F29" s="89">
        <f t="shared" si="2"/>
        <v>436071.35107504542</v>
      </c>
      <c r="G29" s="2">
        <v>0</v>
      </c>
      <c r="H29" s="2">
        <v>0</v>
      </c>
      <c r="I29" s="2">
        <v>0</v>
      </c>
      <c r="J29" s="2">
        <v>3683.4497000000001</v>
      </c>
      <c r="K29" s="2">
        <v>794.47990000000004</v>
      </c>
      <c r="L29" s="2">
        <v>5.7999999999999995E-7</v>
      </c>
      <c r="M29" s="2">
        <v>6087.4286000000002</v>
      </c>
      <c r="N29" s="2">
        <v>1370.2823000000001</v>
      </c>
      <c r="O29" s="2">
        <v>2890.0111000000002</v>
      </c>
      <c r="P29" s="2">
        <v>0</v>
      </c>
      <c r="Q29" s="2">
        <v>4228.7080999999998</v>
      </c>
      <c r="R29" s="2">
        <v>0</v>
      </c>
      <c r="S29" s="2">
        <v>0</v>
      </c>
      <c r="T29" s="2">
        <v>0</v>
      </c>
      <c r="U29" s="2">
        <v>0.5</v>
      </c>
      <c r="V29" s="2">
        <v>2694.1182999999996</v>
      </c>
      <c r="W29" s="89">
        <f t="shared" si="0"/>
        <v>457820.32907562534</v>
      </c>
      <c r="X29" s="3"/>
      <c r="Y29" s="39">
        <v>5355.83997</v>
      </c>
      <c r="Z29" s="40"/>
      <c r="AA29" s="41">
        <v>0</v>
      </c>
      <c r="AB29" s="3"/>
      <c r="AC29" s="89">
        <f t="shared" si="3"/>
        <v>463176.16904562531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165191.639</v>
      </c>
      <c r="C30" s="2">
        <v>32560.353449350954</v>
      </c>
      <c r="D30" s="89">
        <f t="shared" si="1"/>
        <v>197751.99244935095</v>
      </c>
      <c r="E30" s="2">
        <v>2.6333000000000002</v>
      </c>
      <c r="F30" s="89">
        <f t="shared" si="2"/>
        <v>197754.62574935093</v>
      </c>
      <c r="G30" s="2">
        <v>0</v>
      </c>
      <c r="H30" s="2">
        <v>0</v>
      </c>
      <c r="I30" s="2">
        <v>0</v>
      </c>
      <c r="J30" s="2">
        <v>1670.4513999999999</v>
      </c>
      <c r="K30" s="2">
        <v>0</v>
      </c>
      <c r="L30" s="2">
        <v>0</v>
      </c>
      <c r="M30" s="2">
        <v>0</v>
      </c>
      <c r="N30" s="2">
        <v>621.43119999999999</v>
      </c>
      <c r="O30" s="2">
        <v>1158.7074</v>
      </c>
      <c r="P30" s="2">
        <v>0</v>
      </c>
      <c r="Q30" s="2">
        <v>3157.1750999999999</v>
      </c>
      <c r="R30" s="2">
        <v>0</v>
      </c>
      <c r="S30" s="2">
        <v>0</v>
      </c>
      <c r="T30" s="2">
        <v>0</v>
      </c>
      <c r="U30" s="2">
        <v>2.2000000000000002</v>
      </c>
      <c r="V30" s="2">
        <v>1221.7933</v>
      </c>
      <c r="W30" s="89">
        <f t="shared" si="0"/>
        <v>205586.38414935092</v>
      </c>
      <c r="X30" s="3"/>
      <c r="Y30" s="39">
        <v>5686.9811100000006</v>
      </c>
      <c r="Z30" s="40"/>
      <c r="AA30" s="41">
        <v>0</v>
      </c>
      <c r="AB30" s="3"/>
      <c r="AC30" s="89">
        <f t="shared" si="3"/>
        <v>211273.36525935092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187257.68890000001</v>
      </c>
      <c r="C31" s="2">
        <v>40456.726591259438</v>
      </c>
      <c r="D31" s="89">
        <f t="shared" si="1"/>
        <v>227714.41549125945</v>
      </c>
      <c r="E31" s="2">
        <v>4.6500000000000004</v>
      </c>
      <c r="F31" s="89">
        <f t="shared" si="2"/>
        <v>227719.06549125945</v>
      </c>
      <c r="G31" s="2">
        <v>0</v>
      </c>
      <c r="H31" s="2">
        <v>0</v>
      </c>
      <c r="I31" s="2">
        <v>0</v>
      </c>
      <c r="J31" s="2">
        <v>1923.5501000000002</v>
      </c>
      <c r="K31" s="2">
        <v>0</v>
      </c>
      <c r="L31" s="2">
        <v>0</v>
      </c>
      <c r="M31" s="2">
        <v>0</v>
      </c>
      <c r="N31" s="2">
        <v>715.58609999999999</v>
      </c>
      <c r="O31" s="2">
        <v>995.07740000000001</v>
      </c>
      <c r="P31" s="2">
        <v>0</v>
      </c>
      <c r="Q31" s="2">
        <v>3083.7525000000001</v>
      </c>
      <c r="R31" s="2">
        <v>0</v>
      </c>
      <c r="S31" s="2">
        <v>0</v>
      </c>
      <c r="T31" s="2">
        <v>0</v>
      </c>
      <c r="U31" s="2">
        <v>2.2000000000000002</v>
      </c>
      <c r="V31" s="2">
        <v>1406.9106999999999</v>
      </c>
      <c r="W31" s="89">
        <f t="shared" si="0"/>
        <v>235846.14229125946</v>
      </c>
      <c r="X31" s="3"/>
      <c r="Y31" s="39">
        <v>16924.926933999999</v>
      </c>
      <c r="Z31" s="40"/>
      <c r="AA31" s="41">
        <v>0</v>
      </c>
      <c r="AB31" s="3"/>
      <c r="AC31" s="89">
        <f t="shared" si="3"/>
        <v>252771.06922525945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55328.448899999996</v>
      </c>
      <c r="C32" s="2">
        <v>3704.4713505249615</v>
      </c>
      <c r="D32" s="89">
        <f t="shared" si="1"/>
        <v>59032.920250524956</v>
      </c>
      <c r="E32" s="2">
        <v>1</v>
      </c>
      <c r="F32" s="89">
        <f t="shared" si="2"/>
        <v>59033.920250524956</v>
      </c>
      <c r="G32" s="2">
        <v>0</v>
      </c>
      <c r="H32" s="2">
        <v>0</v>
      </c>
      <c r="I32" s="2">
        <v>0</v>
      </c>
      <c r="J32" s="2">
        <v>498.66050000000001</v>
      </c>
      <c r="K32" s="2">
        <v>5.1260000000000003</v>
      </c>
      <c r="L32" s="2">
        <v>0</v>
      </c>
      <c r="M32" s="2">
        <v>39.275300000000001</v>
      </c>
      <c r="N32" s="2">
        <v>185.51270000000002</v>
      </c>
      <c r="O32" s="2">
        <v>523.90300000000002</v>
      </c>
      <c r="P32" s="2">
        <v>0</v>
      </c>
      <c r="Q32" s="2">
        <v>1945.701</v>
      </c>
      <c r="R32" s="2">
        <v>0</v>
      </c>
      <c r="S32" s="2">
        <v>0</v>
      </c>
      <c r="T32" s="2">
        <v>0</v>
      </c>
      <c r="U32" s="2">
        <v>3</v>
      </c>
      <c r="V32" s="2">
        <v>364.73579999999998</v>
      </c>
      <c r="W32" s="89">
        <f t="shared" si="0"/>
        <v>62599.834550524953</v>
      </c>
      <c r="X32" s="3"/>
      <c r="Y32" s="39">
        <v>141.52878000000001</v>
      </c>
      <c r="Z32" s="40"/>
      <c r="AA32" s="43">
        <v>0</v>
      </c>
      <c r="AB32" s="3"/>
      <c r="AC32" s="89">
        <f t="shared" si="3"/>
        <v>62741.363330524953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3923943.4278000006</v>
      </c>
      <c r="C33" s="83">
        <f>SUM(C10:C32)</f>
        <v>923388.22716285149</v>
      </c>
      <c r="D33" s="83">
        <f>SUM(D10:D32)</f>
        <v>4847331.6549628507</v>
      </c>
      <c r="E33" s="83">
        <f t="shared" ref="E33:W33" si="4">SUM(E10:E32)</f>
        <v>107.0158</v>
      </c>
      <c r="F33" s="83">
        <f>SUM(F10:F32)</f>
        <v>4847438.6707628518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40946.349799999996</v>
      </c>
      <c r="K33" s="83">
        <f t="shared" si="4"/>
        <v>4780.1576000000005</v>
      </c>
      <c r="L33" s="83">
        <f t="shared" si="4"/>
        <v>7.3E-7</v>
      </c>
      <c r="M33" s="83">
        <f t="shared" si="4"/>
        <v>36625.788100000005</v>
      </c>
      <c r="N33" s="83">
        <f t="shared" si="4"/>
        <v>15232.477600000002</v>
      </c>
      <c r="O33" s="83">
        <f t="shared" si="4"/>
        <v>30473.972799999992</v>
      </c>
      <c r="P33" s="83">
        <f t="shared" si="4"/>
        <v>0</v>
      </c>
      <c r="Q33" s="83">
        <f t="shared" si="4"/>
        <v>72576.943699999989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29948.524000000001</v>
      </c>
      <c r="W33" s="83">
        <f t="shared" si="4"/>
        <v>5078068.6843635812</v>
      </c>
      <c r="X33" s="48"/>
      <c r="Y33" s="95">
        <f>SUM(Y10:Y32)</f>
        <v>246634.64247199998</v>
      </c>
      <c r="Z33" s="40"/>
      <c r="AA33" s="101">
        <f>SUM(AA10:AA32)</f>
        <v>0</v>
      </c>
      <c r="AB33" s="6"/>
      <c r="AC33" s="93">
        <f>SUM(AC10:AC32)</f>
        <v>5324703.3268355811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65356.025600000001</v>
      </c>
      <c r="C34" s="2">
        <v>52711.814767574389</v>
      </c>
      <c r="D34" s="89">
        <f>B34+C34</f>
        <v>118067.84036757439</v>
      </c>
      <c r="E34" s="2">
        <v>0</v>
      </c>
      <c r="F34" s="89">
        <f>D34+E34</f>
        <v>118067.84036757439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954.49480000000005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119022.33516757439</v>
      </c>
      <c r="X34" s="3"/>
      <c r="Y34" s="39"/>
      <c r="Z34" s="40"/>
      <c r="AA34" s="97">
        <v>0</v>
      </c>
      <c r="AB34" s="3"/>
      <c r="AC34" s="89">
        <f>+W34+Y34+AA34</f>
        <v>119022.33516757439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3393607.0699</v>
      </c>
      <c r="C36" s="2">
        <v>0</v>
      </c>
      <c r="D36" s="89">
        <f>B36+C36</f>
        <v>3393607.0699</v>
      </c>
      <c r="E36" s="2">
        <v>0</v>
      </c>
      <c r="F36" s="89">
        <f>D36+E36</f>
        <v>3393607.0699</v>
      </c>
      <c r="G36" s="2">
        <v>0</v>
      </c>
      <c r="H36" s="2">
        <v>0</v>
      </c>
      <c r="I36" s="2">
        <v>0</v>
      </c>
      <c r="J36" s="2">
        <v>29663.175999999999</v>
      </c>
      <c r="K36" s="2">
        <v>0</v>
      </c>
      <c r="L36" s="2">
        <v>0</v>
      </c>
      <c r="M36" s="2">
        <v>0</v>
      </c>
      <c r="N36" s="2">
        <v>0</v>
      </c>
      <c r="O36" s="2">
        <v>50669.930100000005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3473940.176</v>
      </c>
      <c r="X36" s="3"/>
      <c r="Y36" s="39">
        <f>-SUM(Y33)</f>
        <v>-246634.64247199998</v>
      </c>
      <c r="Z36" s="40"/>
      <c r="AA36" s="41">
        <f>-(AA33+AA34)</f>
        <v>0</v>
      </c>
      <c r="AB36" s="3"/>
      <c r="AC36" s="89">
        <f>+W36+Y36+AA36</f>
        <v>3227305.5335280001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545821.11639999994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69735.353099999993</v>
      </c>
      <c r="W37" s="89">
        <f>SUM(F37:V37)</f>
        <v>615556.46949999989</v>
      </c>
      <c r="X37" s="3"/>
      <c r="Y37" s="39"/>
      <c r="Z37" s="40"/>
      <c r="AA37" s="41"/>
      <c r="AB37" s="3"/>
      <c r="AC37" s="89">
        <f t="shared" si="3"/>
        <v>615556.46949999989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84334.171700000006</v>
      </c>
      <c r="C38" s="37">
        <v>0</v>
      </c>
      <c r="D38" s="89">
        <f>B38+C38</f>
        <v>84334.171700000006</v>
      </c>
      <c r="E38" s="37">
        <v>0</v>
      </c>
      <c r="F38" s="89">
        <f>D38+E38</f>
        <v>84334.171700000006</v>
      </c>
      <c r="G38" s="37">
        <v>0</v>
      </c>
      <c r="H38" s="37">
        <v>0</v>
      </c>
      <c r="I38" s="37">
        <v>0</v>
      </c>
      <c r="J38" s="37">
        <v>712.37209999999993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85046.543799999999</v>
      </c>
      <c r="X38" s="3"/>
      <c r="Y38" s="42"/>
      <c r="Z38" s="40"/>
      <c r="AA38" s="43"/>
      <c r="AB38" s="3"/>
      <c r="AC38" s="90">
        <f t="shared" si="3"/>
        <v>85046.543799999999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7467286.4950000001</v>
      </c>
      <c r="C39" s="85">
        <f>+SUM(C33:C38)</f>
        <v>976100.04193042591</v>
      </c>
      <c r="D39" s="85">
        <f>+SUM(D33:D38)</f>
        <v>8443386.5369304251</v>
      </c>
      <c r="E39" s="85">
        <f t="shared" ref="E39:V39" si="5">+SUM(E33:E38)</f>
        <v>107.0158</v>
      </c>
      <c r="F39" s="85">
        <f>SUM(F33:F38)</f>
        <v>8443493.5527304262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71321.897899999996</v>
      </c>
      <c r="K39" s="85">
        <f t="shared" si="5"/>
        <v>4780.1576000000005</v>
      </c>
      <c r="L39" s="85">
        <f t="shared" si="5"/>
        <v>7.3E-7</v>
      </c>
      <c r="M39" s="85">
        <f t="shared" si="5"/>
        <v>582446.90449999995</v>
      </c>
      <c r="N39" s="85">
        <f t="shared" si="5"/>
        <v>15232.477600000002</v>
      </c>
      <c r="O39" s="85">
        <f t="shared" si="5"/>
        <v>81143.902900000001</v>
      </c>
      <c r="P39" s="85">
        <f t="shared" si="5"/>
        <v>0</v>
      </c>
      <c r="Q39" s="85">
        <f t="shared" si="5"/>
        <v>73531.438499999989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99683.877099999998</v>
      </c>
      <c r="W39" s="85">
        <f>+SUM(W33:W38)</f>
        <v>9371634.2088311557</v>
      </c>
      <c r="X39" s="47"/>
      <c r="Y39" s="46">
        <f>+SUM(Y33:Y38)</f>
        <v>0</v>
      </c>
      <c r="Z39" s="49"/>
      <c r="AA39" s="102"/>
      <c r="AB39" s="7"/>
      <c r="AC39" s="94">
        <f>+SUM(AC33:AC38)</f>
        <v>9371634.2088311557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3367588.8080000002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4711514.9148999993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329060.853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477.154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10298.4323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14522.809499999999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10030.581030426025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8443493.5527304243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8443447.7527304236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F39 F33 W33 AC33" formula="1"/>
    <ignoredError sqref="W9:Y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08B8-D05E-49ED-8572-2D117CDE070E}">
  <sheetPr>
    <pageSetUpPr fitToPage="1"/>
  </sheetPr>
  <dimension ref="A1:AZ77"/>
  <sheetViews>
    <sheetView showGridLines="0" showZeros="0" topLeftCell="K4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607074.32350000006</v>
      </c>
      <c r="C10" s="2">
        <v>352769.6577311522</v>
      </c>
      <c r="D10" s="89">
        <f>B10+C10</f>
        <v>959843.98123115231</v>
      </c>
      <c r="E10" s="2">
        <v>35.008399999999995</v>
      </c>
      <c r="F10" s="89">
        <f>D10+E10</f>
        <v>959878.98963115236</v>
      </c>
      <c r="G10" s="2">
        <v>0</v>
      </c>
      <c r="H10" s="2">
        <v>0</v>
      </c>
      <c r="I10" s="2">
        <v>0</v>
      </c>
      <c r="J10" s="2">
        <v>4291.1952000000001</v>
      </c>
      <c r="K10" s="2">
        <v>1021.6080999999999</v>
      </c>
      <c r="L10" s="2">
        <v>0</v>
      </c>
      <c r="M10" s="2">
        <v>16621.326000000001</v>
      </c>
      <c r="N10" s="2">
        <v>3262.2951000000003</v>
      </c>
      <c r="O10" s="2">
        <v>7026.8120999999992</v>
      </c>
      <c r="P10" s="2">
        <v>280.55992537378665</v>
      </c>
      <c r="Q10" s="2">
        <v>10515.0214</v>
      </c>
      <c r="R10" s="2">
        <v>543.44458969255629</v>
      </c>
      <c r="S10" s="2">
        <v>0</v>
      </c>
      <c r="T10" s="2">
        <v>395.96396515652305</v>
      </c>
      <c r="U10" s="2">
        <v>0</v>
      </c>
      <c r="V10" s="2">
        <v>6142.2251999999999</v>
      </c>
      <c r="W10" s="89">
        <f t="shared" ref="W10:W32" si="0">SUM(F10:V10)</f>
        <v>1009979.4412113749</v>
      </c>
      <c r="X10" s="3"/>
      <c r="Y10" s="39">
        <v>173124.26508300001</v>
      </c>
      <c r="Z10" s="40"/>
      <c r="AA10" s="97">
        <v>0</v>
      </c>
      <c r="AB10" s="3"/>
      <c r="AC10" s="89">
        <f>+W10+Y10+AA10</f>
        <v>1183103.706294375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103945.7099</v>
      </c>
      <c r="C11" s="2">
        <v>16442.653538294984</v>
      </c>
      <c r="D11" s="89">
        <f t="shared" ref="D11:D32" si="1">B11+C11</f>
        <v>120388.36343829498</v>
      </c>
      <c r="E11" s="2">
        <v>1.7832999999999999</v>
      </c>
      <c r="F11" s="89">
        <f t="shared" ref="F11:F32" si="2">D11+E11</f>
        <v>120390.14673829498</v>
      </c>
      <c r="G11" s="2">
        <v>0</v>
      </c>
      <c r="H11" s="2">
        <v>0</v>
      </c>
      <c r="I11" s="2">
        <v>0</v>
      </c>
      <c r="J11" s="2">
        <v>538.22280000000001</v>
      </c>
      <c r="K11" s="2">
        <v>0</v>
      </c>
      <c r="L11" s="2">
        <v>0</v>
      </c>
      <c r="M11" s="2">
        <v>0</v>
      </c>
      <c r="N11" s="2">
        <v>409.17940000000004</v>
      </c>
      <c r="O11" s="2">
        <v>721.35769999999991</v>
      </c>
      <c r="P11" s="2">
        <v>422.84461000017154</v>
      </c>
      <c r="Q11" s="2">
        <v>1522.8652</v>
      </c>
      <c r="R11" s="2">
        <v>819.80505345166705</v>
      </c>
      <c r="S11" s="2">
        <v>0</v>
      </c>
      <c r="T11" s="2">
        <v>596.77528143633003</v>
      </c>
      <c r="U11" s="2">
        <v>2.2000000000000002</v>
      </c>
      <c r="V11" s="2">
        <v>770.4</v>
      </c>
      <c r="W11" s="89">
        <f t="shared" si="0"/>
        <v>126193.79678318313</v>
      </c>
      <c r="X11" s="3"/>
      <c r="Y11" s="39">
        <v>4928.062723</v>
      </c>
      <c r="Z11" s="40"/>
      <c r="AA11" s="41">
        <v>0</v>
      </c>
      <c r="AB11" s="3"/>
      <c r="AC11" s="89">
        <f t="shared" ref="AC11:AC38" si="3">+W11+Y11+AA11</f>
        <v>131121.85950618313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312511.64569999999</v>
      </c>
      <c r="C12" s="2">
        <v>75593.498085148429</v>
      </c>
      <c r="D12" s="89">
        <f t="shared" si="1"/>
        <v>388105.14378514839</v>
      </c>
      <c r="E12" s="2">
        <v>10.441700000000001</v>
      </c>
      <c r="F12" s="89">
        <f>D12+E12</f>
        <v>388115.58548514842</v>
      </c>
      <c r="G12" s="2">
        <v>0</v>
      </c>
      <c r="H12" s="2">
        <v>0</v>
      </c>
      <c r="I12" s="2">
        <v>0</v>
      </c>
      <c r="J12" s="2">
        <v>1735.11</v>
      </c>
      <c r="K12" s="2">
        <v>348.8836</v>
      </c>
      <c r="L12" s="2">
        <v>0</v>
      </c>
      <c r="M12" s="2">
        <v>5676.2540999999992</v>
      </c>
      <c r="N12" s="2">
        <v>1319.0907999999999</v>
      </c>
      <c r="O12" s="2">
        <v>3157.6929</v>
      </c>
      <c r="P12" s="2">
        <v>280.55992537378665</v>
      </c>
      <c r="Q12" s="2">
        <v>4097.2325000000001</v>
      </c>
      <c r="R12" s="2">
        <v>514.77745615555841</v>
      </c>
      <c r="S12" s="2">
        <v>0</v>
      </c>
      <c r="T12" s="2">
        <v>395.96396515652305</v>
      </c>
      <c r="U12" s="2">
        <v>0.5</v>
      </c>
      <c r="V12" s="2">
        <v>2483.5745000000002</v>
      </c>
      <c r="W12" s="89">
        <f t="shared" si="0"/>
        <v>408125.22523183428</v>
      </c>
      <c r="X12" s="3"/>
      <c r="Y12" s="39">
        <v>5473.9498800000001</v>
      </c>
      <c r="Z12" s="40"/>
      <c r="AA12" s="41">
        <v>0</v>
      </c>
      <c r="AB12" s="3"/>
      <c r="AC12" s="89">
        <f t="shared" si="3"/>
        <v>413599.17511183431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128102.10309999999</v>
      </c>
      <c r="C13" s="2">
        <v>34380.093761889533</v>
      </c>
      <c r="D13" s="89">
        <f t="shared" si="1"/>
        <v>162482.19686188953</v>
      </c>
      <c r="E13" s="2">
        <v>3.2166999999999999</v>
      </c>
      <c r="F13" s="89">
        <f t="shared" si="2"/>
        <v>162485.41356188952</v>
      </c>
      <c r="G13" s="2">
        <v>0</v>
      </c>
      <c r="H13" s="2">
        <v>0</v>
      </c>
      <c r="I13" s="2">
        <v>0</v>
      </c>
      <c r="J13" s="2">
        <v>726.41269999999997</v>
      </c>
      <c r="K13" s="2">
        <v>111.55680000000001</v>
      </c>
      <c r="L13" s="2">
        <v>0</v>
      </c>
      <c r="M13" s="2">
        <v>1815.0031000000001</v>
      </c>
      <c r="N13" s="2">
        <v>552.24350000000004</v>
      </c>
      <c r="O13" s="2">
        <v>930.13109999999995</v>
      </c>
      <c r="P13" s="2">
        <v>355.18736855634944</v>
      </c>
      <c r="Q13" s="2">
        <v>3589.6107999999999</v>
      </c>
      <c r="R13" s="2">
        <v>721.24390642295953</v>
      </c>
      <c r="S13" s="2">
        <v>0</v>
      </c>
      <c r="T13" s="2">
        <v>501.28826717293276</v>
      </c>
      <c r="U13" s="2">
        <v>1.5</v>
      </c>
      <c r="V13" s="2">
        <v>1039.7601</v>
      </c>
      <c r="W13" s="89">
        <f t="shared" si="0"/>
        <v>172829.35120404177</v>
      </c>
      <c r="X13" s="3"/>
      <c r="Y13" s="39">
        <v>6724.6844280000005</v>
      </c>
      <c r="Z13" s="40"/>
      <c r="AA13" s="41">
        <v>0</v>
      </c>
      <c r="AB13" s="3"/>
      <c r="AC13" s="89">
        <f t="shared" si="3"/>
        <v>179554.03563204178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178540.98030000002</v>
      </c>
      <c r="C14" s="2">
        <v>39505.0766829165</v>
      </c>
      <c r="D14" s="89">
        <f t="shared" si="1"/>
        <v>218046.05698291652</v>
      </c>
      <c r="E14" s="2">
        <v>2.8</v>
      </c>
      <c r="F14" s="89">
        <f t="shared" si="2"/>
        <v>218048.85698291651</v>
      </c>
      <c r="G14" s="2">
        <v>0</v>
      </c>
      <c r="H14" s="2">
        <v>0</v>
      </c>
      <c r="I14" s="2">
        <v>0</v>
      </c>
      <c r="J14" s="2">
        <v>974.82319999999993</v>
      </c>
      <c r="K14" s="2">
        <v>87.702600000000004</v>
      </c>
      <c r="L14" s="2">
        <v>0</v>
      </c>
      <c r="M14" s="2">
        <v>1426.9006000000002</v>
      </c>
      <c r="N14" s="2">
        <v>741.09900000000005</v>
      </c>
      <c r="O14" s="2">
        <v>941.50689999999997</v>
      </c>
      <c r="P14" s="2">
        <v>377.23971450456798</v>
      </c>
      <c r="Q14" s="2">
        <v>3335.7999</v>
      </c>
      <c r="R14" s="2">
        <v>752.28419052980087</v>
      </c>
      <c r="S14" s="2">
        <v>0</v>
      </c>
      <c r="T14" s="2">
        <v>532.41150878579617</v>
      </c>
      <c r="U14" s="2">
        <v>0.5</v>
      </c>
      <c r="V14" s="2">
        <v>1395.3358000000001</v>
      </c>
      <c r="W14" s="89">
        <f t="shared" si="0"/>
        <v>228614.46039673669</v>
      </c>
      <c r="X14" s="3"/>
      <c r="Y14" s="39">
        <v>8201.1254430000008</v>
      </c>
      <c r="Z14" s="40"/>
      <c r="AA14" s="41">
        <v>0</v>
      </c>
      <c r="AB14" s="3"/>
      <c r="AC14" s="89">
        <f t="shared" si="3"/>
        <v>236815.58583973668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53109.495299999995</v>
      </c>
      <c r="C15" s="2">
        <v>16015.571628209442</v>
      </c>
      <c r="D15" s="89">
        <f t="shared" si="1"/>
        <v>69125.066928209431</v>
      </c>
      <c r="E15" s="2">
        <v>2.0167000000000002</v>
      </c>
      <c r="F15" s="89">
        <f t="shared" si="2"/>
        <v>69127.083628209424</v>
      </c>
      <c r="G15" s="2">
        <v>0</v>
      </c>
      <c r="H15" s="2">
        <v>0</v>
      </c>
      <c r="I15" s="2">
        <v>0</v>
      </c>
      <c r="J15" s="2">
        <v>309.03890000000001</v>
      </c>
      <c r="K15" s="2">
        <v>34.307600000000001</v>
      </c>
      <c r="L15" s="2">
        <v>0</v>
      </c>
      <c r="M15" s="2">
        <v>558.17680000000007</v>
      </c>
      <c r="N15" s="2">
        <v>234.94710000000001</v>
      </c>
      <c r="O15" s="2">
        <v>821.27139999999997</v>
      </c>
      <c r="P15" s="2">
        <v>395.52941380727361</v>
      </c>
      <c r="Q15" s="2">
        <v>2320.5563999999999</v>
      </c>
      <c r="R15" s="2">
        <v>1002.4120151907313</v>
      </c>
      <c r="S15" s="2">
        <v>0</v>
      </c>
      <c r="T15" s="2">
        <v>558.22439651518425</v>
      </c>
      <c r="U15" s="2">
        <v>3</v>
      </c>
      <c r="V15" s="2">
        <v>442.35669999999999</v>
      </c>
      <c r="W15" s="89">
        <f t="shared" si="0"/>
        <v>75806.904353722624</v>
      </c>
      <c r="X15" s="3"/>
      <c r="Y15" s="39">
        <v>1557.23127</v>
      </c>
      <c r="Z15" s="40"/>
      <c r="AA15" s="41">
        <v>0</v>
      </c>
      <c r="AB15" s="3"/>
      <c r="AC15" s="89">
        <f t="shared" si="3"/>
        <v>77364.135623722628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179996.57580000002</v>
      </c>
      <c r="C16" s="2">
        <v>33419.159464196913</v>
      </c>
      <c r="D16" s="89">
        <f t="shared" si="1"/>
        <v>213415.73526419693</v>
      </c>
      <c r="E16" s="2">
        <v>5.6249000000000002</v>
      </c>
      <c r="F16" s="89">
        <f t="shared" si="2"/>
        <v>213421.36016419693</v>
      </c>
      <c r="G16" s="2">
        <v>0</v>
      </c>
      <c r="H16" s="2">
        <v>0</v>
      </c>
      <c r="I16" s="2">
        <v>0</v>
      </c>
      <c r="J16" s="2">
        <v>954.1223</v>
      </c>
      <c r="K16" s="2">
        <v>151.40770000000001</v>
      </c>
      <c r="L16" s="2">
        <v>0</v>
      </c>
      <c r="M16" s="2">
        <v>2463.3692999999998</v>
      </c>
      <c r="N16" s="2">
        <v>725.34980000000007</v>
      </c>
      <c r="O16" s="2">
        <v>1185.414</v>
      </c>
      <c r="P16" s="2">
        <v>324.65167050498133</v>
      </c>
      <c r="Q16" s="2">
        <v>2828.1782000000003</v>
      </c>
      <c r="R16" s="2">
        <v>718.83524000369505</v>
      </c>
      <c r="S16" s="2">
        <v>0</v>
      </c>
      <c r="T16" s="2">
        <v>458.19217617682182</v>
      </c>
      <c r="U16" s="2">
        <v>1.8</v>
      </c>
      <c r="V16" s="2">
        <v>1365.6833000000001</v>
      </c>
      <c r="W16" s="89">
        <f t="shared" si="0"/>
        <v>224598.36385088236</v>
      </c>
      <c r="X16" s="3"/>
      <c r="Y16" s="39">
        <v>3770.9504700000002</v>
      </c>
      <c r="Z16" s="40"/>
      <c r="AA16" s="41">
        <v>0</v>
      </c>
      <c r="AB16" s="3"/>
      <c r="AC16" s="89">
        <f t="shared" si="3"/>
        <v>228369.31432088237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136586.1194</v>
      </c>
      <c r="C17" s="2">
        <v>22528.570757014561</v>
      </c>
      <c r="D17" s="89">
        <f t="shared" si="1"/>
        <v>159114.69015701456</v>
      </c>
      <c r="E17" s="2">
        <v>1.7251000000000001</v>
      </c>
      <c r="F17" s="89">
        <f t="shared" si="2"/>
        <v>159116.41525701457</v>
      </c>
      <c r="G17" s="2">
        <v>0</v>
      </c>
      <c r="H17" s="2">
        <v>0</v>
      </c>
      <c r="I17" s="2">
        <v>0</v>
      </c>
      <c r="J17" s="2">
        <v>711.35749999999996</v>
      </c>
      <c r="K17" s="2">
        <v>40.8536</v>
      </c>
      <c r="L17" s="2">
        <v>0</v>
      </c>
      <c r="M17" s="2">
        <v>664.67819999999995</v>
      </c>
      <c r="N17" s="2">
        <v>540.80319999999995</v>
      </c>
      <c r="O17" s="2">
        <v>634.35630000000003</v>
      </c>
      <c r="P17" s="2">
        <v>435.92000932252193</v>
      </c>
      <c r="Q17" s="2">
        <v>2900.6956</v>
      </c>
      <c r="R17" s="2">
        <v>784.65257407919557</v>
      </c>
      <c r="S17" s="2">
        <v>0</v>
      </c>
      <c r="T17" s="2">
        <v>615.22904655596562</v>
      </c>
      <c r="U17" s="2">
        <v>2.2000000000000002</v>
      </c>
      <c r="V17" s="2">
        <v>1018.2203000000001</v>
      </c>
      <c r="W17" s="89">
        <f t="shared" si="0"/>
        <v>167465.38158697227</v>
      </c>
      <c r="X17" s="3"/>
      <c r="Y17" s="39">
        <v>4036.2441839999997</v>
      </c>
      <c r="Z17" s="40"/>
      <c r="AA17" s="41">
        <v>0</v>
      </c>
      <c r="AB17" s="3"/>
      <c r="AC17" s="89">
        <f t="shared" si="3"/>
        <v>171501.62577097228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102502.4016</v>
      </c>
      <c r="C18" s="2">
        <v>21674.406936843432</v>
      </c>
      <c r="D18" s="89">
        <f t="shared" si="1"/>
        <v>124176.80853684343</v>
      </c>
      <c r="E18" s="2">
        <v>2.7749999999999999</v>
      </c>
      <c r="F18" s="89">
        <f t="shared" si="2"/>
        <v>124179.58353684342</v>
      </c>
      <c r="G18" s="2">
        <v>0</v>
      </c>
      <c r="H18" s="2">
        <v>0</v>
      </c>
      <c r="I18" s="2">
        <v>0</v>
      </c>
      <c r="J18" s="2">
        <v>555.15989999999999</v>
      </c>
      <c r="K18" s="2">
        <v>0</v>
      </c>
      <c r="L18" s="2">
        <v>0</v>
      </c>
      <c r="M18" s="2">
        <v>0</v>
      </c>
      <c r="N18" s="2">
        <v>422.04599999999999</v>
      </c>
      <c r="O18" s="2">
        <v>705.12569999999994</v>
      </c>
      <c r="P18" s="2">
        <v>351.77185641372273</v>
      </c>
      <c r="Q18" s="2">
        <v>2175.5217000000002</v>
      </c>
      <c r="R18" s="2">
        <v>777.29289434168959</v>
      </c>
      <c r="S18" s="2">
        <v>0</v>
      </c>
      <c r="T18" s="2">
        <v>496.46783630819226</v>
      </c>
      <c r="U18" s="2">
        <v>2.2000000000000002</v>
      </c>
      <c r="V18" s="2">
        <v>794.62509999999997</v>
      </c>
      <c r="W18" s="89">
        <f t="shared" si="0"/>
        <v>130459.79452390702</v>
      </c>
      <c r="X18" s="3"/>
      <c r="Y18" s="39">
        <v>3908.4902219999999</v>
      </c>
      <c r="Z18" s="40"/>
      <c r="AA18" s="41">
        <v>0</v>
      </c>
      <c r="AB18" s="3"/>
      <c r="AC18" s="89">
        <f t="shared" si="3"/>
        <v>134368.28474590703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72367.808599999989</v>
      </c>
      <c r="C19" s="2">
        <v>11317.670617267971</v>
      </c>
      <c r="D19" s="89">
        <f t="shared" si="1"/>
        <v>83685.479217267959</v>
      </c>
      <c r="E19" s="2">
        <v>1.6</v>
      </c>
      <c r="F19" s="89">
        <f t="shared" si="2"/>
        <v>83687.079217267965</v>
      </c>
      <c r="G19" s="2">
        <v>0</v>
      </c>
      <c r="H19" s="2">
        <v>0</v>
      </c>
      <c r="I19" s="2">
        <v>0</v>
      </c>
      <c r="J19" s="2">
        <v>374.07679999999999</v>
      </c>
      <c r="K19" s="2">
        <v>30.1266</v>
      </c>
      <c r="L19" s="2">
        <v>6.8000000000000005E-7</v>
      </c>
      <c r="M19" s="2">
        <v>490.27109999999999</v>
      </c>
      <c r="N19" s="2">
        <v>284.3854</v>
      </c>
      <c r="O19" s="2">
        <v>890.00009999999997</v>
      </c>
      <c r="P19" s="2">
        <v>312.27539520270199</v>
      </c>
      <c r="Q19" s="2">
        <v>1478.4391000000001</v>
      </c>
      <c r="R19" s="2">
        <v>990.98082342576799</v>
      </c>
      <c r="S19" s="2">
        <v>0</v>
      </c>
      <c r="T19" s="2">
        <v>440.72510905521744</v>
      </c>
      <c r="U19" s="2">
        <v>2.5</v>
      </c>
      <c r="V19" s="2">
        <v>535.43830000000003</v>
      </c>
      <c r="W19" s="89">
        <f t="shared" si="0"/>
        <v>89516.297945631639</v>
      </c>
      <c r="X19" s="3"/>
      <c r="Y19" s="39">
        <v>0</v>
      </c>
      <c r="Z19" s="40"/>
      <c r="AA19" s="41">
        <v>0</v>
      </c>
      <c r="AB19" s="3"/>
      <c r="AC19" s="89">
        <f t="shared" si="3"/>
        <v>89516.297945631639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77689.284499999994</v>
      </c>
      <c r="C20" s="2">
        <v>12812.457302567538</v>
      </c>
      <c r="D20" s="89">
        <f t="shared" si="1"/>
        <v>90501.741802567529</v>
      </c>
      <c r="E20" s="2">
        <v>1.6916</v>
      </c>
      <c r="F20" s="89">
        <f t="shared" si="2"/>
        <v>90503.433402567534</v>
      </c>
      <c r="G20" s="2">
        <v>0</v>
      </c>
      <c r="H20" s="2">
        <v>0</v>
      </c>
      <c r="I20" s="2">
        <v>0</v>
      </c>
      <c r="J20" s="2">
        <v>404.60809999999998</v>
      </c>
      <c r="K20" s="2">
        <v>0</v>
      </c>
      <c r="L20" s="2">
        <v>0</v>
      </c>
      <c r="M20" s="2">
        <v>0</v>
      </c>
      <c r="N20" s="2">
        <v>307.59770000000003</v>
      </c>
      <c r="O20" s="2">
        <v>549.98940000000005</v>
      </c>
      <c r="P20" s="2">
        <v>411.42963020274476</v>
      </c>
      <c r="Q20" s="2">
        <v>1450.3478</v>
      </c>
      <c r="R20" s="2">
        <v>899.86310332104495</v>
      </c>
      <c r="S20" s="2">
        <v>0</v>
      </c>
      <c r="T20" s="2">
        <v>580.66492407326871</v>
      </c>
      <c r="U20" s="2">
        <v>2.2000000000000002</v>
      </c>
      <c r="V20" s="2">
        <v>579.14269999999999</v>
      </c>
      <c r="W20" s="89">
        <f t="shared" si="0"/>
        <v>95689.27676016459</v>
      </c>
      <c r="X20" s="3"/>
      <c r="Y20" s="39">
        <v>1215.4343670000001</v>
      </c>
      <c r="Z20" s="40"/>
      <c r="AA20" s="41">
        <v>0</v>
      </c>
      <c r="AB20" s="3"/>
      <c r="AC20" s="89">
        <f t="shared" si="3"/>
        <v>96904.711127164584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133365.41990000001</v>
      </c>
      <c r="C21" s="2">
        <v>48900.878704799339</v>
      </c>
      <c r="D21" s="89">
        <f t="shared" si="1"/>
        <v>182266.29860479935</v>
      </c>
      <c r="E21" s="2">
        <v>5.1416000000000004</v>
      </c>
      <c r="F21" s="89">
        <f t="shared" si="2"/>
        <v>182271.44020479935</v>
      </c>
      <c r="G21" s="2">
        <v>0</v>
      </c>
      <c r="H21" s="2">
        <v>0</v>
      </c>
      <c r="I21" s="2">
        <v>0</v>
      </c>
      <c r="J21" s="2">
        <v>814.86189999999999</v>
      </c>
      <c r="K21" s="2">
        <v>0</v>
      </c>
      <c r="L21" s="2">
        <v>0</v>
      </c>
      <c r="M21" s="2">
        <v>0</v>
      </c>
      <c r="N21" s="2">
        <v>619.48930000000007</v>
      </c>
      <c r="O21" s="2">
        <v>1287.9694999999999</v>
      </c>
      <c r="P21" s="2">
        <v>319.34917086770929</v>
      </c>
      <c r="Q21" s="2">
        <v>2900.6956</v>
      </c>
      <c r="R21" s="2">
        <v>579.81876489478236</v>
      </c>
      <c r="S21" s="2">
        <v>0</v>
      </c>
      <c r="T21" s="2">
        <v>450.70857428828475</v>
      </c>
      <c r="U21" s="2">
        <v>2.2000000000000002</v>
      </c>
      <c r="V21" s="2">
        <v>1166.3697999999999</v>
      </c>
      <c r="W21" s="89">
        <f t="shared" si="0"/>
        <v>190412.90281485012</v>
      </c>
      <c r="X21" s="3"/>
      <c r="Y21" s="39">
        <v>5729.0215080000007</v>
      </c>
      <c r="Z21" s="40"/>
      <c r="AA21" s="41">
        <v>0</v>
      </c>
      <c r="AB21" s="3"/>
      <c r="AC21" s="89">
        <f t="shared" si="3"/>
        <v>196141.92432285013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102421.0508</v>
      </c>
      <c r="C22" s="2">
        <v>41960.797665908693</v>
      </c>
      <c r="D22" s="89">
        <f t="shared" si="1"/>
        <v>144381.8484659087</v>
      </c>
      <c r="E22" s="2">
        <v>2.8416999999999999</v>
      </c>
      <c r="F22" s="89">
        <f t="shared" si="2"/>
        <v>144384.69016590869</v>
      </c>
      <c r="G22" s="2">
        <v>0</v>
      </c>
      <c r="H22" s="2">
        <v>0</v>
      </c>
      <c r="I22" s="2">
        <v>0</v>
      </c>
      <c r="J22" s="2">
        <v>645.49099999999999</v>
      </c>
      <c r="K22" s="2">
        <v>47.8964</v>
      </c>
      <c r="L22" s="2">
        <v>0</v>
      </c>
      <c r="M22" s="2">
        <v>779.26290000000006</v>
      </c>
      <c r="N22" s="2">
        <v>490.71800000000002</v>
      </c>
      <c r="O22" s="2">
        <v>860.97450000000003</v>
      </c>
      <c r="P22" s="2">
        <v>413.07467549429606</v>
      </c>
      <c r="Q22" s="2">
        <v>3408.3172999999997</v>
      </c>
      <c r="R22" s="2">
        <v>646.74963240829686</v>
      </c>
      <c r="S22" s="2">
        <v>0</v>
      </c>
      <c r="T22" s="2">
        <v>582.98663361932131</v>
      </c>
      <c r="U22" s="2">
        <v>2.2000000000000002</v>
      </c>
      <c r="V22" s="2">
        <v>923.92019999999991</v>
      </c>
      <c r="W22" s="89">
        <f t="shared" si="0"/>
        <v>153186.28140743062</v>
      </c>
      <c r="X22" s="3"/>
      <c r="Y22" s="39">
        <v>7580.9771100000007</v>
      </c>
      <c r="Z22" s="40"/>
      <c r="AA22" s="41">
        <v>0</v>
      </c>
      <c r="AB22" s="3"/>
      <c r="AC22" s="89">
        <f t="shared" si="3"/>
        <v>160767.25851743063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57709.099099999999</v>
      </c>
      <c r="C23" s="2">
        <v>18150.98117863735</v>
      </c>
      <c r="D23" s="89">
        <f t="shared" si="1"/>
        <v>75860.080278637353</v>
      </c>
      <c r="E23" s="2">
        <v>1.4499</v>
      </c>
      <c r="F23" s="89">
        <f t="shared" si="2"/>
        <v>75861.53017863736</v>
      </c>
      <c r="G23" s="2">
        <v>0</v>
      </c>
      <c r="H23" s="2">
        <v>0</v>
      </c>
      <c r="I23" s="2">
        <v>0</v>
      </c>
      <c r="J23" s="2">
        <v>339.14929999999998</v>
      </c>
      <c r="K23" s="2">
        <v>21.540399999999998</v>
      </c>
      <c r="L23" s="2">
        <v>0</v>
      </c>
      <c r="M23" s="2">
        <v>350.45639999999997</v>
      </c>
      <c r="N23" s="2">
        <v>257.82779999999997</v>
      </c>
      <c r="O23" s="2">
        <v>1095.2291</v>
      </c>
      <c r="P23" s="2">
        <v>366.81839708020232</v>
      </c>
      <c r="Q23" s="2">
        <v>3118.2477000000003</v>
      </c>
      <c r="R23" s="2">
        <v>721.92768725595738</v>
      </c>
      <c r="S23" s="2">
        <v>0</v>
      </c>
      <c r="T23" s="2">
        <v>517.70354163381808</v>
      </c>
      <c r="U23" s="2">
        <v>2.5</v>
      </c>
      <c r="V23" s="2">
        <v>485.43619999999999</v>
      </c>
      <c r="W23" s="89">
        <f t="shared" si="0"/>
        <v>83138.366704607339</v>
      </c>
      <c r="X23" s="3"/>
      <c r="Y23" s="39">
        <v>2097.2780849999999</v>
      </c>
      <c r="Z23" s="40"/>
      <c r="AA23" s="41">
        <v>0</v>
      </c>
      <c r="AB23" s="3"/>
      <c r="AC23" s="89">
        <f t="shared" si="3"/>
        <v>85235.644789607337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90746.846099999995</v>
      </c>
      <c r="C24" s="2">
        <v>19538.997386415474</v>
      </c>
      <c r="D24" s="89">
        <f t="shared" si="1"/>
        <v>110285.84348641547</v>
      </c>
      <c r="E24" s="2">
        <v>1.2167000000000001</v>
      </c>
      <c r="F24" s="89">
        <f t="shared" si="2"/>
        <v>110287.06018641547</v>
      </c>
      <c r="G24" s="2">
        <v>0</v>
      </c>
      <c r="H24" s="2">
        <v>0</v>
      </c>
      <c r="I24" s="2">
        <v>0</v>
      </c>
      <c r="J24" s="2">
        <v>493.0573</v>
      </c>
      <c r="K24" s="2">
        <v>0</v>
      </c>
      <c r="L24" s="2">
        <v>0</v>
      </c>
      <c r="M24" s="2">
        <v>0</v>
      </c>
      <c r="N24" s="2">
        <v>374.84340000000003</v>
      </c>
      <c r="O24" s="2">
        <v>829.97360000000003</v>
      </c>
      <c r="P24" s="2">
        <v>340.83995190994096</v>
      </c>
      <c r="Q24" s="2">
        <v>3263.2824999999998</v>
      </c>
      <c r="R24" s="2">
        <v>662.74211324747637</v>
      </c>
      <c r="S24" s="2">
        <v>0</v>
      </c>
      <c r="T24" s="2">
        <v>481.03925984552524</v>
      </c>
      <c r="U24" s="2">
        <v>2.5</v>
      </c>
      <c r="V24" s="2">
        <v>705.75240000000008</v>
      </c>
      <c r="W24" s="89">
        <f t="shared" si="0"/>
        <v>117441.09071141841</v>
      </c>
      <c r="X24" s="3"/>
      <c r="Y24" s="39">
        <v>1956.1448339999999</v>
      </c>
      <c r="Z24" s="40"/>
      <c r="AA24" s="41">
        <v>0</v>
      </c>
      <c r="AB24" s="3"/>
      <c r="AC24" s="89">
        <f t="shared" si="3"/>
        <v>119397.23554541841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126960.67540000001</v>
      </c>
      <c r="C25" s="2">
        <v>40572.781458130492</v>
      </c>
      <c r="D25" s="89">
        <f t="shared" si="1"/>
        <v>167533.45685813049</v>
      </c>
      <c r="E25" s="2">
        <v>3.3167</v>
      </c>
      <c r="F25" s="89">
        <f t="shared" si="2"/>
        <v>167536.77355813049</v>
      </c>
      <c r="G25" s="2">
        <v>0</v>
      </c>
      <c r="H25" s="2">
        <v>0</v>
      </c>
      <c r="I25" s="2">
        <v>0</v>
      </c>
      <c r="J25" s="2">
        <v>748.99540000000002</v>
      </c>
      <c r="K25" s="2">
        <v>0</v>
      </c>
      <c r="L25" s="2">
        <v>0</v>
      </c>
      <c r="M25" s="2">
        <v>0</v>
      </c>
      <c r="N25" s="2">
        <v>569.41899999999998</v>
      </c>
      <c r="O25" s="2">
        <v>989.15269999999998</v>
      </c>
      <c r="P25" s="2">
        <v>348.69376872765201</v>
      </c>
      <c r="Q25" s="2">
        <v>2900.6956</v>
      </c>
      <c r="R25" s="2">
        <v>897.96152754162335</v>
      </c>
      <c r="S25" s="2">
        <v>0</v>
      </c>
      <c r="T25" s="2">
        <v>492.12362424769452</v>
      </c>
      <c r="U25" s="2">
        <v>2.5</v>
      </c>
      <c r="V25" s="2">
        <v>1072.098</v>
      </c>
      <c r="W25" s="89">
        <f t="shared" si="0"/>
        <v>175558.41317864749</v>
      </c>
      <c r="X25" s="3"/>
      <c r="Y25" s="39">
        <v>19685.344971000002</v>
      </c>
      <c r="Z25" s="40"/>
      <c r="AA25" s="41">
        <v>0</v>
      </c>
      <c r="AB25" s="3"/>
      <c r="AC25" s="89">
        <f t="shared" si="3"/>
        <v>195243.7581496475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121163.50629999999</v>
      </c>
      <c r="C26" s="2">
        <v>26585.848902827562</v>
      </c>
      <c r="D26" s="89">
        <f t="shared" si="1"/>
        <v>147749.35520282754</v>
      </c>
      <c r="E26" s="2">
        <v>2.5083000000000002</v>
      </c>
      <c r="F26" s="89">
        <f t="shared" si="2"/>
        <v>147751.86350282753</v>
      </c>
      <c r="G26" s="2">
        <v>0</v>
      </c>
      <c r="H26" s="2">
        <v>0</v>
      </c>
      <c r="I26" s="2">
        <v>0</v>
      </c>
      <c r="J26" s="2">
        <v>660.5462</v>
      </c>
      <c r="K26" s="2">
        <v>0</v>
      </c>
      <c r="L26" s="2">
        <v>0</v>
      </c>
      <c r="M26" s="2">
        <v>0</v>
      </c>
      <c r="N26" s="2">
        <v>502.17329999999998</v>
      </c>
      <c r="O26" s="2">
        <v>737.0394</v>
      </c>
      <c r="P26" s="2">
        <v>323.0381829089954</v>
      </c>
      <c r="Q26" s="2">
        <v>2646.8847000000001</v>
      </c>
      <c r="R26" s="2">
        <v>576.52709635884662</v>
      </c>
      <c r="S26" s="2">
        <v>0</v>
      </c>
      <c r="T26" s="2">
        <v>455.91500507802914</v>
      </c>
      <c r="U26" s="2">
        <v>2.2000000000000002</v>
      </c>
      <c r="V26" s="2">
        <v>945.48830000000009</v>
      </c>
      <c r="W26" s="89">
        <f t="shared" si="0"/>
        <v>154601.67568717341</v>
      </c>
      <c r="X26" s="3"/>
      <c r="Y26" s="39">
        <v>2459.1408659999997</v>
      </c>
      <c r="Z26" s="40"/>
      <c r="AA26" s="41">
        <v>0</v>
      </c>
      <c r="AB26" s="3"/>
      <c r="AC26" s="89">
        <f t="shared" si="3"/>
        <v>157060.81655317341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84280.665900000007</v>
      </c>
      <c r="C27" s="2">
        <v>15481.719240602431</v>
      </c>
      <c r="D27" s="89">
        <f t="shared" si="1"/>
        <v>99762.385140602433</v>
      </c>
      <c r="E27" s="2">
        <v>1.5751000000000002</v>
      </c>
      <c r="F27" s="89">
        <f t="shared" si="2"/>
        <v>99763.960240602435</v>
      </c>
      <c r="G27" s="2">
        <v>0</v>
      </c>
      <c r="H27" s="2">
        <v>0</v>
      </c>
      <c r="I27" s="2">
        <v>0</v>
      </c>
      <c r="J27" s="2">
        <v>446.00979999999998</v>
      </c>
      <c r="K27" s="2">
        <v>0</v>
      </c>
      <c r="L27" s="2">
        <v>0</v>
      </c>
      <c r="M27" s="2">
        <v>0</v>
      </c>
      <c r="N27" s="2">
        <v>339.06609999999995</v>
      </c>
      <c r="O27" s="2">
        <v>574.0856</v>
      </c>
      <c r="P27" s="2">
        <v>316.45557423259913</v>
      </c>
      <c r="Q27" s="2">
        <v>2646.8847000000001</v>
      </c>
      <c r="R27" s="2">
        <v>662.18356792799034</v>
      </c>
      <c r="S27" s="2">
        <v>0</v>
      </c>
      <c r="T27" s="2">
        <v>446.62474086835101</v>
      </c>
      <c r="U27" s="2">
        <v>2.2000000000000002</v>
      </c>
      <c r="V27" s="2">
        <v>638.39119999999991</v>
      </c>
      <c r="W27" s="89">
        <f t="shared" si="0"/>
        <v>105835.86152363138</v>
      </c>
      <c r="X27" s="3"/>
      <c r="Y27" s="39">
        <v>0</v>
      </c>
      <c r="Z27" s="40"/>
      <c r="AA27" s="41">
        <v>0</v>
      </c>
      <c r="AB27" s="3"/>
      <c r="AC27" s="89">
        <f t="shared" si="3"/>
        <v>105835.86152363138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61010.510700000006</v>
      </c>
      <c r="C28" s="2">
        <v>8114.5562916261069</v>
      </c>
      <c r="D28" s="89">
        <f t="shared" si="1"/>
        <v>69125.06699162611</v>
      </c>
      <c r="E28" s="2">
        <v>0.70829999999999993</v>
      </c>
      <c r="F28" s="89">
        <f t="shared" si="2"/>
        <v>69125.775291626109</v>
      </c>
      <c r="G28" s="2">
        <v>0</v>
      </c>
      <c r="H28" s="2">
        <v>0</v>
      </c>
      <c r="I28" s="2">
        <v>0</v>
      </c>
      <c r="J28" s="2">
        <v>309.03890000000001</v>
      </c>
      <c r="K28" s="2">
        <v>27.929500000000001</v>
      </c>
      <c r="L28" s="2">
        <v>0</v>
      </c>
      <c r="M28" s="2">
        <v>454.40590000000003</v>
      </c>
      <c r="N28" s="2">
        <v>234.94710000000001</v>
      </c>
      <c r="O28" s="2">
        <v>661.10649999999998</v>
      </c>
      <c r="P28" s="2">
        <v>445.27079309068779</v>
      </c>
      <c r="Q28" s="2">
        <v>2320.5563999999999</v>
      </c>
      <c r="R28" s="2">
        <v>1263.3193611101317</v>
      </c>
      <c r="S28" s="2">
        <v>0</v>
      </c>
      <c r="T28" s="2">
        <v>628.42613238219349</v>
      </c>
      <c r="U28" s="2">
        <v>3</v>
      </c>
      <c r="V28" s="2">
        <v>442.35669999999999</v>
      </c>
      <c r="W28" s="89">
        <f t="shared" si="0"/>
        <v>75916.13257820913</v>
      </c>
      <c r="X28" s="3"/>
      <c r="Y28" s="39">
        <v>331.24784700000004</v>
      </c>
      <c r="Z28" s="40"/>
      <c r="AA28" s="41">
        <v>0</v>
      </c>
      <c r="AB28" s="3"/>
      <c r="AC28" s="89">
        <f t="shared" si="3"/>
        <v>76247.380425209136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326720.83010000002</v>
      </c>
      <c r="C29" s="2">
        <v>71536.219939335424</v>
      </c>
      <c r="D29" s="89">
        <f t="shared" si="1"/>
        <v>398257.05003933545</v>
      </c>
      <c r="E29" s="2">
        <v>11.290799999999999</v>
      </c>
      <c r="F29" s="89">
        <f t="shared" si="2"/>
        <v>398268.34083933546</v>
      </c>
      <c r="G29" s="2">
        <v>0</v>
      </c>
      <c r="H29" s="2">
        <v>0</v>
      </c>
      <c r="I29" s="2">
        <v>0</v>
      </c>
      <c r="J29" s="2">
        <v>1780.2221000000002</v>
      </c>
      <c r="K29" s="2">
        <v>383.97450000000003</v>
      </c>
      <c r="L29" s="2">
        <v>2.7199999999999998E-6</v>
      </c>
      <c r="M29" s="2">
        <v>6248.6921000000002</v>
      </c>
      <c r="N29" s="2">
        <v>1353.394</v>
      </c>
      <c r="O29" s="2">
        <v>2854.3926000000001</v>
      </c>
      <c r="P29" s="2">
        <v>280.55992537378665</v>
      </c>
      <c r="Q29" s="2">
        <v>4176.5905000000002</v>
      </c>
      <c r="R29" s="2">
        <v>474.68810185656037</v>
      </c>
      <c r="S29" s="2">
        <v>0</v>
      </c>
      <c r="T29" s="2">
        <v>395.96396515652305</v>
      </c>
      <c r="U29" s="2">
        <v>0.5</v>
      </c>
      <c r="V29" s="2">
        <v>2548.1585</v>
      </c>
      <c r="W29" s="89">
        <f t="shared" si="0"/>
        <v>418765.47713444231</v>
      </c>
      <c r="X29" s="3"/>
      <c r="Y29" s="39">
        <v>6248.4799649999995</v>
      </c>
      <c r="Z29" s="40"/>
      <c r="AA29" s="41">
        <v>0</v>
      </c>
      <c r="AB29" s="3"/>
      <c r="AC29" s="89">
        <f t="shared" si="3"/>
        <v>425013.95709944231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144921.20569999999</v>
      </c>
      <c r="C30" s="2">
        <v>35661.339492146297</v>
      </c>
      <c r="D30" s="89">
        <f t="shared" si="1"/>
        <v>180582.5451921463</v>
      </c>
      <c r="E30" s="2">
        <v>2.6333000000000002</v>
      </c>
      <c r="F30" s="89">
        <f t="shared" si="2"/>
        <v>180585.17849214628</v>
      </c>
      <c r="G30" s="2">
        <v>0</v>
      </c>
      <c r="H30" s="2">
        <v>0</v>
      </c>
      <c r="I30" s="2">
        <v>0</v>
      </c>
      <c r="J30" s="2">
        <v>807.3343000000001</v>
      </c>
      <c r="K30" s="2">
        <v>0</v>
      </c>
      <c r="L30" s="2">
        <v>0</v>
      </c>
      <c r="M30" s="2">
        <v>0</v>
      </c>
      <c r="N30" s="2">
        <v>613.76909999999998</v>
      </c>
      <c r="O30" s="2">
        <v>1144.4206999999999</v>
      </c>
      <c r="P30" s="2">
        <v>374.07504547490589</v>
      </c>
      <c r="Q30" s="2">
        <v>3118.2477000000003</v>
      </c>
      <c r="R30" s="2">
        <v>772.71842781172677</v>
      </c>
      <c r="S30" s="2">
        <v>0</v>
      </c>
      <c r="T30" s="2">
        <v>527.94510148688801</v>
      </c>
      <c r="U30" s="2">
        <v>2.2000000000000002</v>
      </c>
      <c r="V30" s="2">
        <v>1155.5998999999999</v>
      </c>
      <c r="W30" s="89">
        <f t="shared" si="0"/>
        <v>189101.48876691979</v>
      </c>
      <c r="X30" s="3"/>
      <c r="Y30" s="39">
        <v>6634.8112949999995</v>
      </c>
      <c r="Z30" s="40"/>
      <c r="AA30" s="41">
        <v>0</v>
      </c>
      <c r="AB30" s="3"/>
      <c r="AC30" s="89">
        <f t="shared" si="3"/>
        <v>195736.30006191978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163633.78880000001</v>
      </c>
      <c r="C31" s="2">
        <v>44309.748171379302</v>
      </c>
      <c r="D31" s="89">
        <f t="shared" si="1"/>
        <v>207943.5369713793</v>
      </c>
      <c r="E31" s="2">
        <v>4.6500000000000004</v>
      </c>
      <c r="F31" s="89">
        <f t="shared" si="2"/>
        <v>207948.1869713793</v>
      </c>
      <c r="G31" s="2">
        <v>0</v>
      </c>
      <c r="H31" s="2">
        <v>0</v>
      </c>
      <c r="I31" s="2">
        <v>0</v>
      </c>
      <c r="J31" s="2">
        <v>929.6576</v>
      </c>
      <c r="K31" s="2">
        <v>0</v>
      </c>
      <c r="L31" s="2">
        <v>0</v>
      </c>
      <c r="M31" s="2">
        <v>0</v>
      </c>
      <c r="N31" s="2">
        <v>706.76300000000003</v>
      </c>
      <c r="O31" s="2">
        <v>982.80819999999994</v>
      </c>
      <c r="P31" s="2">
        <v>288.11920381850763</v>
      </c>
      <c r="Q31" s="2">
        <v>3045.7302999999997</v>
      </c>
      <c r="R31" s="2">
        <v>879.99854319621625</v>
      </c>
      <c r="S31" s="2">
        <v>0</v>
      </c>
      <c r="T31" s="2">
        <v>406.63263734601435</v>
      </c>
      <c r="U31" s="2">
        <v>2.2000000000000002</v>
      </c>
      <c r="V31" s="2">
        <v>1330.6883</v>
      </c>
      <c r="W31" s="89">
        <f t="shared" si="0"/>
        <v>216520.78475574005</v>
      </c>
      <c r="X31" s="3"/>
      <c r="Y31" s="39">
        <v>8079.0814230000005</v>
      </c>
      <c r="Z31" s="40"/>
      <c r="AA31" s="41">
        <v>0</v>
      </c>
      <c r="AB31" s="3"/>
      <c r="AC31" s="89">
        <f t="shared" si="3"/>
        <v>224599.86617874005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49850.245999999999</v>
      </c>
      <c r="C32" s="2">
        <v>4057.2781458130535</v>
      </c>
      <c r="D32" s="89">
        <f t="shared" si="1"/>
        <v>53907.524145813055</v>
      </c>
      <c r="E32" s="2">
        <v>1</v>
      </c>
      <c r="F32" s="89">
        <f t="shared" si="2"/>
        <v>53908.524145813055</v>
      </c>
      <c r="G32" s="2">
        <v>0</v>
      </c>
      <c r="H32" s="2">
        <v>0</v>
      </c>
      <c r="I32" s="2">
        <v>0</v>
      </c>
      <c r="J32" s="2">
        <v>241.00409999999999</v>
      </c>
      <c r="K32" s="2">
        <v>2.4774000000000003</v>
      </c>
      <c r="L32" s="2">
        <v>0</v>
      </c>
      <c r="M32" s="2">
        <v>40.306699999999999</v>
      </c>
      <c r="N32" s="2">
        <v>183.22540000000001</v>
      </c>
      <c r="O32" s="2">
        <v>517.44330000000002</v>
      </c>
      <c r="P32" s="2">
        <v>327.44897575810859</v>
      </c>
      <c r="Q32" s="2">
        <v>1921.7108000000001</v>
      </c>
      <c r="R32" s="2">
        <v>462.38492566572512</v>
      </c>
      <c r="S32" s="2">
        <v>0</v>
      </c>
      <c r="T32" s="2">
        <v>462.1401102046018</v>
      </c>
      <c r="U32" s="2">
        <v>3</v>
      </c>
      <c r="V32" s="2">
        <v>344.97550000000001</v>
      </c>
      <c r="W32" s="89">
        <f t="shared" si="0"/>
        <v>58414.641357441498</v>
      </c>
      <c r="X32" s="3"/>
      <c r="Y32" s="39">
        <v>165.11690999999999</v>
      </c>
      <c r="Z32" s="40"/>
      <c r="AA32" s="43">
        <v>0</v>
      </c>
      <c r="AB32" s="3"/>
      <c r="AC32" s="89">
        <f t="shared" si="3"/>
        <v>58579.758267441495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3415210.2925</v>
      </c>
      <c r="C33" s="83">
        <f>SUM(C10:C32)</f>
        <v>1011329.9630831231</v>
      </c>
      <c r="D33" s="83">
        <f>SUM(D10:D32)</f>
        <v>4426540.2555831233</v>
      </c>
      <c r="E33" s="83">
        <f t="shared" ref="E33:W33" si="4">SUM(E10:E32)</f>
        <v>107.0158</v>
      </c>
      <c r="F33" s="83">
        <f>SUM(F10:F32)</f>
        <v>4426647.2713831225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19789.495299999995</v>
      </c>
      <c r="K33" s="83">
        <f t="shared" si="4"/>
        <v>2310.2648000000004</v>
      </c>
      <c r="L33" s="83">
        <f t="shared" si="4"/>
        <v>3.3999999999999996E-6</v>
      </c>
      <c r="M33" s="83">
        <f t="shared" si="4"/>
        <v>37589.103200000005</v>
      </c>
      <c r="N33" s="83">
        <f t="shared" si="4"/>
        <v>15044.672499999999</v>
      </c>
      <c r="O33" s="83">
        <f t="shared" si="4"/>
        <v>30098.253299999997</v>
      </c>
      <c r="P33" s="83">
        <f t="shared" si="4"/>
        <v>8091.7131839999993</v>
      </c>
      <c r="Q33" s="83">
        <f t="shared" si="4"/>
        <v>71682.112400000013</v>
      </c>
      <c r="R33" s="83">
        <f>SUM(R10:R32)</f>
        <v>17126.611595890001</v>
      </c>
      <c r="S33" s="83">
        <f t="shared" si="4"/>
        <v>0</v>
      </c>
      <c r="T33" s="83">
        <f t="shared" si="4"/>
        <v>11420.115802549999</v>
      </c>
      <c r="U33" s="83">
        <f t="shared" si="4"/>
        <v>45.800000000000004</v>
      </c>
      <c r="V33" s="83">
        <f t="shared" si="4"/>
        <v>28325.997000000007</v>
      </c>
      <c r="W33" s="83">
        <f t="shared" si="4"/>
        <v>4668171.410468963</v>
      </c>
      <c r="X33" s="48"/>
      <c r="Y33" s="95">
        <f>SUM(Y10:Y32)</f>
        <v>273907.08288400009</v>
      </c>
      <c r="Z33" s="40"/>
      <c r="AA33" s="101">
        <f>SUM(AA10:AA32)</f>
        <v>0</v>
      </c>
      <c r="AB33" s="6"/>
      <c r="AC33" s="93">
        <f>SUM(AC10:AC32)</f>
        <v>4942078.4933529627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51442.236100000002</v>
      </c>
      <c r="C34" s="2">
        <v>56374.812131297018</v>
      </c>
      <c r="D34" s="89">
        <f>B34+C34</f>
        <v>107817.04823129703</v>
      </c>
      <c r="E34" s="2">
        <v>0</v>
      </c>
      <c r="F34" s="89">
        <f>D34+E34</f>
        <v>107817.04823129703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942.72609999999997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108759.77433129703</v>
      </c>
      <c r="X34" s="3"/>
      <c r="Y34" s="39"/>
      <c r="Z34" s="40"/>
      <c r="AA34" s="97">
        <v>0</v>
      </c>
      <c r="AB34" s="3"/>
      <c r="AC34" s="89">
        <f>+W34+Y34+AA34</f>
        <v>108759.77433129703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3098970.0151999998</v>
      </c>
      <c r="C36" s="2">
        <v>0</v>
      </c>
      <c r="D36" s="89">
        <f>B36+C36</f>
        <v>3098970.0151999998</v>
      </c>
      <c r="E36" s="2">
        <v>0</v>
      </c>
      <c r="F36" s="89">
        <f>D36+E36</f>
        <v>3098970.0151999998</v>
      </c>
      <c r="G36" s="2">
        <v>0</v>
      </c>
      <c r="H36" s="2">
        <v>0</v>
      </c>
      <c r="I36" s="2">
        <v>0</v>
      </c>
      <c r="J36" s="2">
        <v>14336.303599999999</v>
      </c>
      <c r="K36" s="2">
        <v>0</v>
      </c>
      <c r="L36" s="2">
        <v>0</v>
      </c>
      <c r="M36" s="2">
        <v>0</v>
      </c>
      <c r="N36" s="2">
        <v>0</v>
      </c>
      <c r="O36" s="2">
        <v>50045.178899999999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3163351.4977000002</v>
      </c>
      <c r="X36" s="3"/>
      <c r="Y36" s="39">
        <f>-SUM(Y33)</f>
        <v>-273907.08288400009</v>
      </c>
      <c r="Z36" s="40"/>
      <c r="AA36" s="41">
        <f>-(AA33+AA34)</f>
        <v>0</v>
      </c>
      <c r="AB36" s="3"/>
      <c r="AC36" s="89">
        <f>+W36+Y36+AA36</f>
        <v>2889444.414816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560154.4486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65957.286500000002</v>
      </c>
      <c r="W37" s="89">
        <f>SUM(F37:V37)</f>
        <v>626111.73510000005</v>
      </c>
      <c r="X37" s="3"/>
      <c r="Y37" s="39"/>
      <c r="Z37" s="40"/>
      <c r="AA37" s="41"/>
      <c r="AB37" s="3"/>
      <c r="AC37" s="89">
        <f t="shared" si="3"/>
        <v>626111.73510000005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77012.177299999996</v>
      </c>
      <c r="C38" s="37">
        <v>0</v>
      </c>
      <c r="D38" s="89">
        <f>B38+C38</f>
        <v>77012.177299999996</v>
      </c>
      <c r="E38" s="37">
        <v>0</v>
      </c>
      <c r="F38" s="89">
        <f>D38+E38</f>
        <v>77012.177299999996</v>
      </c>
      <c r="G38" s="37">
        <v>0</v>
      </c>
      <c r="H38" s="37">
        <v>0</v>
      </c>
      <c r="I38" s="37">
        <v>0</v>
      </c>
      <c r="J38" s="37">
        <v>344.29159999999996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77356.468899999993</v>
      </c>
      <c r="X38" s="3"/>
      <c r="Y38" s="42"/>
      <c r="Z38" s="40"/>
      <c r="AA38" s="43"/>
      <c r="AB38" s="3"/>
      <c r="AC38" s="90">
        <f t="shared" si="3"/>
        <v>77356.468899999993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6642680.5210999986</v>
      </c>
      <c r="C39" s="85">
        <f>+SUM(C33:C38)</f>
        <v>1067704.7752144202</v>
      </c>
      <c r="D39" s="85">
        <f>+SUM(D33:D38)</f>
        <v>7710385.2963144192</v>
      </c>
      <c r="E39" s="85">
        <f t="shared" ref="E39:V39" si="5">+SUM(E33:E38)</f>
        <v>107.0158</v>
      </c>
      <c r="F39" s="85">
        <f>SUM(F33:F38)</f>
        <v>7710492.3121144185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34470.090499999991</v>
      </c>
      <c r="K39" s="85">
        <f t="shared" si="5"/>
        <v>2310.2648000000004</v>
      </c>
      <c r="L39" s="85">
        <f t="shared" si="5"/>
        <v>3.3999999999999996E-6</v>
      </c>
      <c r="M39" s="85">
        <f t="shared" si="5"/>
        <v>597743.55180000002</v>
      </c>
      <c r="N39" s="85">
        <f t="shared" si="5"/>
        <v>15044.672499999999</v>
      </c>
      <c r="O39" s="85">
        <f t="shared" si="5"/>
        <v>80143.432199999996</v>
      </c>
      <c r="P39" s="85">
        <f t="shared" si="5"/>
        <v>8091.7131839999993</v>
      </c>
      <c r="Q39" s="85">
        <f t="shared" si="5"/>
        <v>72624.838500000013</v>
      </c>
      <c r="R39" s="85">
        <f t="shared" si="5"/>
        <v>17126.611595890001</v>
      </c>
      <c r="S39" s="85">
        <f t="shared" si="5"/>
        <v>0</v>
      </c>
      <c r="T39" s="85">
        <f t="shared" si="5"/>
        <v>11420.115802549999</v>
      </c>
      <c r="U39" s="85">
        <f t="shared" si="5"/>
        <v>45.800000000000004</v>
      </c>
      <c r="V39" s="85">
        <f t="shared" si="5"/>
        <v>94283.283500000005</v>
      </c>
      <c r="W39" s="85">
        <f>+SUM(W33:W38)</f>
        <v>8643750.8865002599</v>
      </c>
      <c r="X39" s="47"/>
      <c r="Y39" s="46">
        <f>+SUM(Y33:Y38)</f>
        <v>0</v>
      </c>
      <c r="Z39" s="49"/>
      <c r="AA39" s="102"/>
      <c r="AB39" s="7"/>
      <c r="AC39" s="94">
        <f>+SUM(AC33:AC38)</f>
        <v>8643750.8865002599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2528302.8319999999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4835239.898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306559.47499999998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105.422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10214.864599999999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20841.040199999999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9228.780314419746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7710492.3121144194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7710446.5121144196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AC33 D33 F33 F39 W33" formula="1"/>
    <ignoredError sqref="W9:Y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983-282A-432F-9501-C2C799D42B83}">
  <sheetPr>
    <pageSetUpPr fitToPage="1"/>
  </sheetPr>
  <dimension ref="A1:AZ77"/>
  <sheetViews>
    <sheetView showGridLines="0" showZeros="0" topLeftCell="K4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706316.08610000007</v>
      </c>
      <c r="C10" s="2">
        <v>368107.46893637412</v>
      </c>
      <c r="D10" s="89">
        <f>B10+C10</f>
        <v>1074423.5550363741</v>
      </c>
      <c r="E10" s="2">
        <v>35.008399999999995</v>
      </c>
      <c r="F10" s="89">
        <f>D10+E10</f>
        <v>1074458.5634363741</v>
      </c>
      <c r="G10" s="2">
        <v>0</v>
      </c>
      <c r="H10" s="2">
        <v>0</v>
      </c>
      <c r="I10" s="2">
        <v>0</v>
      </c>
      <c r="J10" s="2">
        <v>7407.1257000000005</v>
      </c>
      <c r="K10" s="2">
        <v>1763.4201</v>
      </c>
      <c r="L10" s="2">
        <v>0</v>
      </c>
      <c r="M10" s="2">
        <v>17898.426199999998</v>
      </c>
      <c r="N10" s="2">
        <v>3552.4295000000002</v>
      </c>
      <c r="O10" s="2">
        <v>7651.7464</v>
      </c>
      <c r="P10" s="2">
        <v>0</v>
      </c>
      <c r="Q10" s="2">
        <v>11450.1819</v>
      </c>
      <c r="R10" s="2">
        <v>0</v>
      </c>
      <c r="S10" s="2">
        <v>0</v>
      </c>
      <c r="T10" s="2">
        <v>0</v>
      </c>
      <c r="U10" s="2">
        <v>0</v>
      </c>
      <c r="V10" s="2">
        <v>7034.4550999999992</v>
      </c>
      <c r="W10" s="89">
        <f t="shared" ref="W10:W32" si="0">SUM(F10:V10)</f>
        <v>1131216.3483363742</v>
      </c>
      <c r="X10" s="3"/>
      <c r="Y10" s="39">
        <v>154598.36558000001</v>
      </c>
      <c r="Z10" s="40"/>
      <c r="AA10" s="97">
        <v>0</v>
      </c>
      <c r="AB10" s="3"/>
      <c r="AC10" s="89">
        <f>+W10+Y10+AA10</f>
        <v>1285814.7139163741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117601.94690000001</v>
      </c>
      <c r="C11" s="2">
        <v>17157.551518220931</v>
      </c>
      <c r="D11" s="89">
        <f t="shared" ref="D11:D32" si="1">B11+C11</f>
        <v>134759.49841822093</v>
      </c>
      <c r="E11" s="2">
        <v>1.7832999999999999</v>
      </c>
      <c r="F11" s="89">
        <f t="shared" ref="F11:F32" si="2">D11+E11</f>
        <v>134761.28171822094</v>
      </c>
      <c r="G11" s="2">
        <v>0</v>
      </c>
      <c r="H11" s="2">
        <v>0</v>
      </c>
      <c r="I11" s="2">
        <v>0</v>
      </c>
      <c r="J11" s="2">
        <v>929.03819999999996</v>
      </c>
      <c r="K11" s="2">
        <v>0</v>
      </c>
      <c r="L11" s="2">
        <v>0</v>
      </c>
      <c r="M11" s="2">
        <v>0</v>
      </c>
      <c r="N11" s="2">
        <v>445.57</v>
      </c>
      <c r="O11" s="2">
        <v>785.51210000000003</v>
      </c>
      <c r="P11" s="2">
        <v>0</v>
      </c>
      <c r="Q11" s="2">
        <v>1658.3021999999999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882.30949999999996</v>
      </c>
      <c r="W11" s="89">
        <f t="shared" si="0"/>
        <v>139464.21371822097</v>
      </c>
      <c r="X11" s="3"/>
      <c r="Y11" s="39">
        <v>547.39053999999999</v>
      </c>
      <c r="Z11" s="40"/>
      <c r="AA11" s="41">
        <v>0</v>
      </c>
      <c r="AB11" s="3"/>
      <c r="AC11" s="89">
        <f t="shared" ref="AC11:AC38" si="3">+W11+Y11+AA11</f>
        <v>140011.60425822096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355554.29510000005</v>
      </c>
      <c r="C12" s="2">
        <v>78880.171914937499</v>
      </c>
      <c r="D12" s="89">
        <f t="shared" si="1"/>
        <v>434434.46701493755</v>
      </c>
      <c r="E12" s="2">
        <v>10.441700000000001</v>
      </c>
      <c r="F12" s="89">
        <f>D12+E12</f>
        <v>434444.90871493757</v>
      </c>
      <c r="G12" s="2">
        <v>0</v>
      </c>
      <c r="H12" s="2">
        <v>0</v>
      </c>
      <c r="I12" s="2">
        <v>0</v>
      </c>
      <c r="J12" s="2">
        <v>2995.0112999999997</v>
      </c>
      <c r="K12" s="2">
        <v>602.21550000000002</v>
      </c>
      <c r="L12" s="2">
        <v>0</v>
      </c>
      <c r="M12" s="2">
        <v>6112.3892999999998</v>
      </c>
      <c r="N12" s="2">
        <v>1436.4051000000002</v>
      </c>
      <c r="O12" s="2">
        <v>3438.5245</v>
      </c>
      <c r="P12" s="2">
        <v>0</v>
      </c>
      <c r="Q12" s="2">
        <v>4461.6225999999997</v>
      </c>
      <c r="R12" s="2">
        <v>0</v>
      </c>
      <c r="S12" s="2">
        <v>0</v>
      </c>
      <c r="T12" s="2">
        <v>0</v>
      </c>
      <c r="U12" s="2">
        <v>0.5</v>
      </c>
      <c r="V12" s="2">
        <v>2844.3427000000001</v>
      </c>
      <c r="W12" s="89">
        <f t="shared" si="0"/>
        <v>456335.91971493751</v>
      </c>
      <c r="X12" s="3"/>
      <c r="Y12" s="39">
        <v>4894.9665999999997</v>
      </c>
      <c r="Z12" s="40"/>
      <c r="AA12" s="41">
        <v>0</v>
      </c>
      <c r="AB12" s="3"/>
      <c r="AC12" s="89">
        <f t="shared" si="3"/>
        <v>461230.8863149375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146003.32369999998</v>
      </c>
      <c r="C13" s="2">
        <v>35874.880447189083</v>
      </c>
      <c r="D13" s="89">
        <f t="shared" si="1"/>
        <v>181878.20414718907</v>
      </c>
      <c r="E13" s="2">
        <v>3.2166999999999999</v>
      </c>
      <c r="F13" s="89">
        <f t="shared" si="2"/>
        <v>181881.42084718906</v>
      </c>
      <c r="G13" s="2">
        <v>0</v>
      </c>
      <c r="H13" s="2">
        <v>0</v>
      </c>
      <c r="I13" s="2">
        <v>0</v>
      </c>
      <c r="J13" s="2">
        <v>1253.8768</v>
      </c>
      <c r="K13" s="2">
        <v>192.56059999999999</v>
      </c>
      <c r="L13" s="2">
        <v>0</v>
      </c>
      <c r="M13" s="2">
        <v>1954.4588999999999</v>
      </c>
      <c r="N13" s="2">
        <v>601.35769999999991</v>
      </c>
      <c r="O13" s="2">
        <v>1012.8529</v>
      </c>
      <c r="P13" s="2">
        <v>0</v>
      </c>
      <c r="Q13" s="2">
        <v>3908.8552</v>
      </c>
      <c r="R13" s="2">
        <v>0</v>
      </c>
      <c r="S13" s="2">
        <v>0</v>
      </c>
      <c r="T13" s="2">
        <v>0</v>
      </c>
      <c r="U13" s="2">
        <v>1.5</v>
      </c>
      <c r="V13" s="2">
        <v>1190.7973999999999</v>
      </c>
      <c r="W13" s="89">
        <f t="shared" si="0"/>
        <v>191997.68034718905</v>
      </c>
      <c r="X13" s="3"/>
      <c r="Y13" s="39">
        <v>8297.6399000000001</v>
      </c>
      <c r="Z13" s="40"/>
      <c r="AA13" s="41">
        <v>0</v>
      </c>
      <c r="AB13" s="3"/>
      <c r="AC13" s="89">
        <f t="shared" si="3"/>
        <v>200295.32024718905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202852.2071</v>
      </c>
      <c r="C14" s="2">
        <v>41222.688712608426</v>
      </c>
      <c r="D14" s="89">
        <f t="shared" si="1"/>
        <v>244074.89581260842</v>
      </c>
      <c r="E14" s="2">
        <v>2.8</v>
      </c>
      <c r="F14" s="89">
        <f t="shared" si="2"/>
        <v>244077.69581260841</v>
      </c>
      <c r="G14" s="2">
        <v>0</v>
      </c>
      <c r="H14" s="2">
        <v>0</v>
      </c>
      <c r="I14" s="2">
        <v>0</v>
      </c>
      <c r="J14" s="2">
        <v>1682.6636000000001</v>
      </c>
      <c r="K14" s="2">
        <v>151.3854</v>
      </c>
      <c r="L14" s="2">
        <v>0</v>
      </c>
      <c r="M14" s="2">
        <v>1536.5366000000001</v>
      </c>
      <c r="N14" s="2">
        <v>807.00919999999996</v>
      </c>
      <c r="O14" s="2">
        <v>1025.2404000000001</v>
      </c>
      <c r="P14" s="2">
        <v>0</v>
      </c>
      <c r="Q14" s="2">
        <v>3632.4715000000001</v>
      </c>
      <c r="R14" s="2">
        <v>0</v>
      </c>
      <c r="S14" s="2">
        <v>0</v>
      </c>
      <c r="T14" s="2">
        <v>0</v>
      </c>
      <c r="U14" s="2">
        <v>0.5</v>
      </c>
      <c r="V14" s="2">
        <v>1598.0246000000002</v>
      </c>
      <c r="W14" s="89">
        <f t="shared" si="0"/>
        <v>254511.52711260843</v>
      </c>
      <c r="X14" s="3"/>
      <c r="Y14" s="39">
        <v>9998.0515399999986</v>
      </c>
      <c r="Z14" s="40"/>
      <c r="AA14" s="41">
        <v>0</v>
      </c>
      <c r="AB14" s="3"/>
      <c r="AC14" s="89">
        <f t="shared" si="3"/>
        <v>264509.57865260844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60664.8413</v>
      </c>
      <c r="C15" s="2">
        <v>16711.900829435861</v>
      </c>
      <c r="D15" s="89">
        <f t="shared" si="1"/>
        <v>77376.742129435865</v>
      </c>
      <c r="E15" s="2">
        <v>2.0167000000000002</v>
      </c>
      <c r="F15" s="89">
        <f t="shared" si="2"/>
        <v>77378.758829435857</v>
      </c>
      <c r="G15" s="2">
        <v>0</v>
      </c>
      <c r="H15" s="2">
        <v>0</v>
      </c>
      <c r="I15" s="2">
        <v>0</v>
      </c>
      <c r="J15" s="2">
        <v>533.43880000000001</v>
      </c>
      <c r="K15" s="2">
        <v>59.219099999999997</v>
      </c>
      <c r="L15" s="2">
        <v>0</v>
      </c>
      <c r="M15" s="2">
        <v>601.0643</v>
      </c>
      <c r="N15" s="2">
        <v>255.84229999999999</v>
      </c>
      <c r="O15" s="2">
        <v>894.31169999999997</v>
      </c>
      <c r="P15" s="2">
        <v>0</v>
      </c>
      <c r="Q15" s="2">
        <v>2526.9367000000002</v>
      </c>
      <c r="R15" s="2">
        <v>0</v>
      </c>
      <c r="S15" s="2">
        <v>0</v>
      </c>
      <c r="T15" s="2">
        <v>0</v>
      </c>
      <c r="U15" s="2">
        <v>3</v>
      </c>
      <c r="V15" s="2">
        <v>506.61409999999995</v>
      </c>
      <c r="W15" s="89">
        <f t="shared" si="0"/>
        <v>82759.185829435883</v>
      </c>
      <c r="X15" s="3"/>
      <c r="Y15" s="39">
        <v>1729.27702</v>
      </c>
      <c r="Z15" s="40"/>
      <c r="AA15" s="41">
        <v>0</v>
      </c>
      <c r="AB15" s="3"/>
      <c r="AC15" s="89">
        <f t="shared" si="3"/>
        <v>84488.462849435877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204019.67169999998</v>
      </c>
      <c r="C16" s="2">
        <v>34872.166397422865</v>
      </c>
      <c r="D16" s="89">
        <f t="shared" si="1"/>
        <v>238891.83809742285</v>
      </c>
      <c r="E16" s="2">
        <v>5.6249000000000002</v>
      </c>
      <c r="F16" s="89">
        <f t="shared" si="2"/>
        <v>238897.46299742284</v>
      </c>
      <c r="G16" s="2">
        <v>0</v>
      </c>
      <c r="H16" s="2">
        <v>0</v>
      </c>
      <c r="I16" s="2">
        <v>0</v>
      </c>
      <c r="J16" s="2">
        <v>1646.9313999999999</v>
      </c>
      <c r="K16" s="2">
        <v>261.34829999999999</v>
      </c>
      <c r="L16" s="2">
        <v>0</v>
      </c>
      <c r="M16" s="2">
        <v>2652.6424000000002</v>
      </c>
      <c r="N16" s="2">
        <v>789.85930000000008</v>
      </c>
      <c r="O16" s="2">
        <v>1290.8396</v>
      </c>
      <c r="P16" s="2">
        <v>0</v>
      </c>
      <c r="Q16" s="2">
        <v>3079.7040999999999</v>
      </c>
      <c r="R16" s="2">
        <v>0</v>
      </c>
      <c r="S16" s="2">
        <v>0</v>
      </c>
      <c r="T16" s="2">
        <v>0</v>
      </c>
      <c r="U16" s="2">
        <v>1.8</v>
      </c>
      <c r="V16" s="2">
        <v>1564.0648000000001</v>
      </c>
      <c r="W16" s="89">
        <f t="shared" si="0"/>
        <v>250184.65289742287</v>
      </c>
      <c r="X16" s="3"/>
      <c r="Y16" s="39">
        <v>3906.7417799999998</v>
      </c>
      <c r="Z16" s="40"/>
      <c r="AA16" s="41">
        <v>0</v>
      </c>
      <c r="AB16" s="3"/>
      <c r="AC16" s="89">
        <f t="shared" si="3"/>
        <v>254091.39467742288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154600.63390000002</v>
      </c>
      <c r="C17" s="2">
        <v>23508.073833406492</v>
      </c>
      <c r="D17" s="89">
        <f t="shared" si="1"/>
        <v>178108.70773340651</v>
      </c>
      <c r="E17" s="2">
        <v>1.7251000000000001</v>
      </c>
      <c r="F17" s="89">
        <f t="shared" si="2"/>
        <v>178110.43283340652</v>
      </c>
      <c r="G17" s="2">
        <v>0</v>
      </c>
      <c r="H17" s="2">
        <v>0</v>
      </c>
      <c r="I17" s="2">
        <v>0</v>
      </c>
      <c r="J17" s="2">
        <v>1227.8896999999999</v>
      </c>
      <c r="K17" s="2">
        <v>70.518299999999996</v>
      </c>
      <c r="L17" s="2">
        <v>0</v>
      </c>
      <c r="M17" s="2">
        <v>715.74869999999999</v>
      </c>
      <c r="N17" s="2">
        <v>588.8999</v>
      </c>
      <c r="O17" s="2">
        <v>690.77319999999997</v>
      </c>
      <c r="P17" s="2">
        <v>0</v>
      </c>
      <c r="Q17" s="2">
        <v>3158.6709000000001</v>
      </c>
      <c r="R17" s="2">
        <v>0</v>
      </c>
      <c r="S17" s="2">
        <v>0</v>
      </c>
      <c r="T17" s="2">
        <v>0</v>
      </c>
      <c r="U17" s="2">
        <v>2.2000000000000002</v>
      </c>
      <c r="V17" s="2">
        <v>1166.1287</v>
      </c>
      <c r="W17" s="89">
        <f t="shared" si="0"/>
        <v>185731.26223340651</v>
      </c>
      <c r="X17" s="3"/>
      <c r="Y17" s="39">
        <v>4604.5426799999996</v>
      </c>
      <c r="Z17" s="40"/>
      <c r="AA17" s="41">
        <v>0</v>
      </c>
      <c r="AB17" s="3"/>
      <c r="AC17" s="89">
        <f t="shared" si="3"/>
        <v>190335.80491340652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116383.40949999999</v>
      </c>
      <c r="C18" s="2">
        <v>22616.772455836654</v>
      </c>
      <c r="D18" s="89">
        <f t="shared" si="1"/>
        <v>139000.18195583666</v>
      </c>
      <c r="E18" s="2">
        <v>2.7749999999999999</v>
      </c>
      <c r="F18" s="89">
        <f t="shared" si="2"/>
        <v>139002.95695583665</v>
      </c>
      <c r="G18" s="2">
        <v>0</v>
      </c>
      <c r="H18" s="2">
        <v>0</v>
      </c>
      <c r="I18" s="2">
        <v>0</v>
      </c>
      <c r="J18" s="2">
        <v>958.27369999999996</v>
      </c>
      <c r="K18" s="2">
        <v>0</v>
      </c>
      <c r="L18" s="2">
        <v>0</v>
      </c>
      <c r="M18" s="2">
        <v>0</v>
      </c>
      <c r="N18" s="2">
        <v>459.58100000000002</v>
      </c>
      <c r="O18" s="2">
        <v>767.8365</v>
      </c>
      <c r="P18" s="2">
        <v>0</v>
      </c>
      <c r="Q18" s="2">
        <v>2369.0032000000001</v>
      </c>
      <c r="R18" s="2">
        <v>0</v>
      </c>
      <c r="S18" s="2">
        <v>0</v>
      </c>
      <c r="T18" s="2">
        <v>0</v>
      </c>
      <c r="U18" s="2">
        <v>2.2000000000000002</v>
      </c>
      <c r="V18" s="2">
        <v>910.05369999999994</v>
      </c>
      <c r="W18" s="89">
        <f t="shared" si="0"/>
        <v>144469.90505583666</v>
      </c>
      <c r="X18" s="3"/>
      <c r="Y18" s="39">
        <v>4641.2548799999995</v>
      </c>
      <c r="Z18" s="40"/>
      <c r="AA18" s="41">
        <v>0</v>
      </c>
      <c r="AB18" s="3"/>
      <c r="AC18" s="89">
        <f t="shared" si="3"/>
        <v>149111.15993583665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81866.011799999993</v>
      </c>
      <c r="C19" s="2">
        <v>11809.743252801363</v>
      </c>
      <c r="D19" s="89">
        <f t="shared" si="1"/>
        <v>93675.755052801353</v>
      </c>
      <c r="E19" s="2">
        <v>1.6</v>
      </c>
      <c r="F19" s="89">
        <f t="shared" si="2"/>
        <v>93677.355052801358</v>
      </c>
      <c r="G19" s="2">
        <v>0</v>
      </c>
      <c r="H19" s="2">
        <v>0</v>
      </c>
      <c r="I19" s="2">
        <v>0</v>
      </c>
      <c r="J19" s="2">
        <v>645.70440000000008</v>
      </c>
      <c r="K19" s="2">
        <v>52.002300000000005</v>
      </c>
      <c r="L19" s="2">
        <v>1E-8</v>
      </c>
      <c r="M19" s="2">
        <v>527.94970000000001</v>
      </c>
      <c r="N19" s="2">
        <v>309.6773</v>
      </c>
      <c r="O19" s="2">
        <v>969.15269999999998</v>
      </c>
      <c r="P19" s="2">
        <v>0</v>
      </c>
      <c r="Q19" s="2">
        <v>1609.9249</v>
      </c>
      <c r="R19" s="2">
        <v>0</v>
      </c>
      <c r="S19" s="2">
        <v>0</v>
      </c>
      <c r="T19" s="2">
        <v>0</v>
      </c>
      <c r="U19" s="2">
        <v>2.5</v>
      </c>
      <c r="V19" s="2">
        <v>613.21699999999998</v>
      </c>
      <c r="W19" s="89">
        <f t="shared" si="0"/>
        <v>98407.483352811352</v>
      </c>
      <c r="X19" s="3"/>
      <c r="Y19" s="39">
        <v>0</v>
      </c>
      <c r="Z19" s="40"/>
      <c r="AA19" s="41">
        <v>0</v>
      </c>
      <c r="AB19" s="3"/>
      <c r="AC19" s="89">
        <f t="shared" si="3"/>
        <v>98407.483352811352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87935.6967</v>
      </c>
      <c r="C20" s="2">
        <v>13369.520663548705</v>
      </c>
      <c r="D20" s="89">
        <f t="shared" si="1"/>
        <v>101305.2173635487</v>
      </c>
      <c r="E20" s="2">
        <v>1.6916</v>
      </c>
      <c r="F20" s="89">
        <f t="shared" si="2"/>
        <v>101306.9089635487</v>
      </c>
      <c r="G20" s="2">
        <v>0</v>
      </c>
      <c r="H20" s="2">
        <v>0</v>
      </c>
      <c r="I20" s="2">
        <v>0</v>
      </c>
      <c r="J20" s="2">
        <v>698.40290000000005</v>
      </c>
      <c r="K20" s="2">
        <v>0</v>
      </c>
      <c r="L20" s="2">
        <v>0</v>
      </c>
      <c r="M20" s="2">
        <v>0</v>
      </c>
      <c r="N20" s="2">
        <v>334.95409999999998</v>
      </c>
      <c r="O20" s="2">
        <v>598.90309999999999</v>
      </c>
      <c r="P20" s="2">
        <v>0</v>
      </c>
      <c r="Q20" s="2">
        <v>1579.3353999999999</v>
      </c>
      <c r="R20" s="2">
        <v>0</v>
      </c>
      <c r="S20" s="2">
        <v>0</v>
      </c>
      <c r="T20" s="2">
        <v>0</v>
      </c>
      <c r="U20" s="2">
        <v>2.2000000000000002</v>
      </c>
      <c r="V20" s="2">
        <v>663.26990000000001</v>
      </c>
      <c r="W20" s="89">
        <f t="shared" si="0"/>
        <v>105183.9743635487</v>
      </c>
      <c r="X20" s="3"/>
      <c r="Y20" s="39">
        <v>1126.7112199999999</v>
      </c>
      <c r="Z20" s="40"/>
      <c r="AA20" s="41">
        <v>0</v>
      </c>
      <c r="AB20" s="3"/>
      <c r="AC20" s="89">
        <f t="shared" si="3"/>
        <v>106310.68558354869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152996.992</v>
      </c>
      <c r="C21" s="2">
        <v>51027.003865877639</v>
      </c>
      <c r="D21" s="89">
        <f t="shared" si="1"/>
        <v>204023.99586587763</v>
      </c>
      <c r="E21" s="2">
        <v>5.1416000000000004</v>
      </c>
      <c r="F21" s="89">
        <f t="shared" si="2"/>
        <v>204029.13746587763</v>
      </c>
      <c r="G21" s="2">
        <v>0</v>
      </c>
      <c r="H21" s="2">
        <v>0</v>
      </c>
      <c r="I21" s="2">
        <v>0</v>
      </c>
      <c r="J21" s="2">
        <v>1406.5509</v>
      </c>
      <c r="K21" s="2">
        <v>0</v>
      </c>
      <c r="L21" s="2">
        <v>0</v>
      </c>
      <c r="M21" s="2">
        <v>0</v>
      </c>
      <c r="N21" s="2">
        <v>674.58389999999997</v>
      </c>
      <c r="O21" s="2">
        <v>1402.5160000000001</v>
      </c>
      <c r="P21" s="2">
        <v>0</v>
      </c>
      <c r="Q21" s="2">
        <v>3158.6709000000001</v>
      </c>
      <c r="R21" s="2">
        <v>0</v>
      </c>
      <c r="S21" s="2">
        <v>0</v>
      </c>
      <c r="T21" s="2">
        <v>0</v>
      </c>
      <c r="U21" s="2">
        <v>2.2000000000000002</v>
      </c>
      <c r="V21" s="2">
        <v>1335.7986000000001</v>
      </c>
      <c r="W21" s="89">
        <f t="shared" si="0"/>
        <v>212009.45776587765</v>
      </c>
      <c r="X21" s="3"/>
      <c r="Y21" s="39">
        <v>6801.5732199999993</v>
      </c>
      <c r="Z21" s="40"/>
      <c r="AA21" s="41">
        <v>0</v>
      </c>
      <c r="AB21" s="3"/>
      <c r="AC21" s="89">
        <f t="shared" si="3"/>
        <v>218811.03098587765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117831.98050000001</v>
      </c>
      <c r="C22" s="2">
        <v>43785.180173122164</v>
      </c>
      <c r="D22" s="89">
        <f t="shared" si="1"/>
        <v>161617.16067312215</v>
      </c>
      <c r="E22" s="2">
        <v>2.8416999999999999</v>
      </c>
      <c r="F22" s="89">
        <f t="shared" si="2"/>
        <v>161620.00237312214</v>
      </c>
      <c r="G22" s="2">
        <v>0</v>
      </c>
      <c r="H22" s="2">
        <v>0</v>
      </c>
      <c r="I22" s="2">
        <v>0</v>
      </c>
      <c r="J22" s="2">
        <v>1114.1961999999999</v>
      </c>
      <c r="K22" s="2">
        <v>82.674999999999997</v>
      </c>
      <c r="L22" s="2">
        <v>0</v>
      </c>
      <c r="M22" s="2">
        <v>839.13750000000005</v>
      </c>
      <c r="N22" s="2">
        <v>534.36030000000005</v>
      </c>
      <c r="O22" s="2">
        <v>937.5458000000001</v>
      </c>
      <c r="P22" s="2">
        <v>0</v>
      </c>
      <c r="Q22" s="2">
        <v>3711.4382999999998</v>
      </c>
      <c r="R22" s="2">
        <v>0</v>
      </c>
      <c r="S22" s="2">
        <v>0</v>
      </c>
      <c r="T22" s="2">
        <v>0</v>
      </c>
      <c r="U22" s="2">
        <v>2.2000000000000002</v>
      </c>
      <c r="V22" s="2">
        <v>1058.1304</v>
      </c>
      <c r="W22" s="89">
        <f t="shared" si="0"/>
        <v>169899.68587312216</v>
      </c>
      <c r="X22" s="3"/>
      <c r="Y22" s="39">
        <v>9590.8934399999998</v>
      </c>
      <c r="Z22" s="40"/>
      <c r="AA22" s="41">
        <v>0</v>
      </c>
      <c r="AB22" s="3"/>
      <c r="AC22" s="89">
        <f t="shared" si="3"/>
        <v>179490.57931312214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65975.580700000006</v>
      </c>
      <c r="C23" s="2">
        <v>18940.154273360764</v>
      </c>
      <c r="D23" s="89">
        <f t="shared" si="1"/>
        <v>84915.73497336077</v>
      </c>
      <c r="E23" s="2">
        <v>1.4499</v>
      </c>
      <c r="F23" s="89">
        <f t="shared" si="2"/>
        <v>84917.184873360777</v>
      </c>
      <c r="G23" s="2">
        <v>0</v>
      </c>
      <c r="H23" s="2">
        <v>0</v>
      </c>
      <c r="I23" s="2">
        <v>0</v>
      </c>
      <c r="J23" s="2">
        <v>585.41300000000001</v>
      </c>
      <c r="K23" s="2">
        <v>37.181199999999997</v>
      </c>
      <c r="L23" s="2">
        <v>0</v>
      </c>
      <c r="M23" s="2">
        <v>377.38370000000003</v>
      </c>
      <c r="N23" s="2">
        <v>280.75779999999997</v>
      </c>
      <c r="O23" s="2">
        <v>1192.6341</v>
      </c>
      <c r="P23" s="2">
        <v>0</v>
      </c>
      <c r="Q23" s="2">
        <v>3395.5712000000003</v>
      </c>
      <c r="R23" s="2">
        <v>0</v>
      </c>
      <c r="S23" s="2">
        <v>0</v>
      </c>
      <c r="T23" s="2">
        <v>0</v>
      </c>
      <c r="U23" s="2">
        <v>2.5</v>
      </c>
      <c r="V23" s="2">
        <v>555.95150000000001</v>
      </c>
      <c r="W23" s="89">
        <f t="shared" si="0"/>
        <v>91344.577373360793</v>
      </c>
      <c r="X23" s="3"/>
      <c r="Y23" s="39">
        <v>2434.1694199999997</v>
      </c>
      <c r="Z23" s="40"/>
      <c r="AA23" s="41">
        <v>0</v>
      </c>
      <c r="AB23" s="3"/>
      <c r="AC23" s="89">
        <f t="shared" si="3"/>
        <v>93778.746793360799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103062.49</v>
      </c>
      <c r="C24" s="2">
        <v>20388.519011911751</v>
      </c>
      <c r="D24" s="89">
        <f t="shared" si="1"/>
        <v>123451.00901191175</v>
      </c>
      <c r="E24" s="2">
        <v>1.2167000000000001</v>
      </c>
      <c r="F24" s="89">
        <f t="shared" si="2"/>
        <v>123452.22571191176</v>
      </c>
      <c r="G24" s="2">
        <v>0</v>
      </c>
      <c r="H24" s="2">
        <v>0</v>
      </c>
      <c r="I24" s="2">
        <v>0</v>
      </c>
      <c r="J24" s="2">
        <v>851.077</v>
      </c>
      <c r="K24" s="2">
        <v>0</v>
      </c>
      <c r="L24" s="2">
        <v>0</v>
      </c>
      <c r="M24" s="2">
        <v>0</v>
      </c>
      <c r="N24" s="2">
        <v>408.18029999999999</v>
      </c>
      <c r="O24" s="2">
        <v>903.78780000000006</v>
      </c>
      <c r="P24" s="2">
        <v>0</v>
      </c>
      <c r="Q24" s="2">
        <v>3553.5047000000004</v>
      </c>
      <c r="R24" s="2">
        <v>0</v>
      </c>
      <c r="S24" s="2">
        <v>0</v>
      </c>
      <c r="T24" s="2">
        <v>0</v>
      </c>
      <c r="U24" s="2">
        <v>2.5</v>
      </c>
      <c r="V24" s="2">
        <v>808.27119999999991</v>
      </c>
      <c r="W24" s="89">
        <f t="shared" si="0"/>
        <v>129979.54671191178</v>
      </c>
      <c r="X24" s="3"/>
      <c r="Y24" s="39">
        <v>2029.1621399999999</v>
      </c>
      <c r="Z24" s="40"/>
      <c r="AA24" s="41">
        <v>0</v>
      </c>
      <c r="AB24" s="3"/>
      <c r="AC24" s="89">
        <f t="shared" si="3"/>
        <v>132008.70885191177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145195.63339999999</v>
      </c>
      <c r="C25" s="2">
        <v>42336.815434571028</v>
      </c>
      <c r="D25" s="89">
        <f t="shared" si="1"/>
        <v>187532.44883457103</v>
      </c>
      <c r="E25" s="2">
        <v>3.3167</v>
      </c>
      <c r="F25" s="89">
        <f t="shared" si="2"/>
        <v>187535.76553457102</v>
      </c>
      <c r="G25" s="2">
        <v>0</v>
      </c>
      <c r="H25" s="2">
        <v>0</v>
      </c>
      <c r="I25" s="2">
        <v>0</v>
      </c>
      <c r="J25" s="2">
        <v>1292.8573999999999</v>
      </c>
      <c r="K25" s="2">
        <v>0</v>
      </c>
      <c r="L25" s="2">
        <v>0</v>
      </c>
      <c r="M25" s="2">
        <v>0</v>
      </c>
      <c r="N25" s="2">
        <v>620.0607</v>
      </c>
      <c r="O25" s="2">
        <v>1077.1236000000001</v>
      </c>
      <c r="P25" s="2">
        <v>0</v>
      </c>
      <c r="Q25" s="2">
        <v>3158.6709000000001</v>
      </c>
      <c r="R25" s="2">
        <v>0</v>
      </c>
      <c r="S25" s="2">
        <v>0</v>
      </c>
      <c r="T25" s="2">
        <v>0</v>
      </c>
      <c r="U25" s="2">
        <v>2.5</v>
      </c>
      <c r="V25" s="2">
        <v>1227.8328000000001</v>
      </c>
      <c r="W25" s="89">
        <f t="shared" si="0"/>
        <v>194914.81093457103</v>
      </c>
      <c r="X25" s="3"/>
      <c r="Y25" s="39">
        <v>18737.828559999998</v>
      </c>
      <c r="Z25" s="40"/>
      <c r="AA25" s="41">
        <v>0</v>
      </c>
      <c r="AB25" s="3"/>
      <c r="AC25" s="89">
        <f t="shared" si="3"/>
        <v>213652.63949457102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137644.90180000002</v>
      </c>
      <c r="C26" s="2">
        <v>27741.755376863537</v>
      </c>
      <c r="D26" s="89">
        <f t="shared" si="1"/>
        <v>165386.65717686355</v>
      </c>
      <c r="E26" s="2">
        <v>2.5083000000000002</v>
      </c>
      <c r="F26" s="89">
        <f t="shared" si="2"/>
        <v>165389.16547686353</v>
      </c>
      <c r="G26" s="2">
        <v>0</v>
      </c>
      <c r="H26" s="2">
        <v>0</v>
      </c>
      <c r="I26" s="2">
        <v>0</v>
      </c>
      <c r="J26" s="2">
        <v>1140.1833000000001</v>
      </c>
      <c r="K26" s="2">
        <v>0</v>
      </c>
      <c r="L26" s="2">
        <v>0</v>
      </c>
      <c r="M26" s="2">
        <v>0</v>
      </c>
      <c r="N26" s="2">
        <v>546.83450000000005</v>
      </c>
      <c r="O26" s="2">
        <v>802.58849999999995</v>
      </c>
      <c r="P26" s="2">
        <v>0</v>
      </c>
      <c r="Q26" s="2">
        <v>2882.2872000000002</v>
      </c>
      <c r="R26" s="2">
        <v>0</v>
      </c>
      <c r="S26" s="2">
        <v>0</v>
      </c>
      <c r="T26" s="2">
        <v>0</v>
      </c>
      <c r="U26" s="2">
        <v>2.2000000000000002</v>
      </c>
      <c r="V26" s="2">
        <v>1082.8315</v>
      </c>
      <c r="W26" s="89">
        <f t="shared" si="0"/>
        <v>171846.09047686355</v>
      </c>
      <c r="X26" s="3"/>
      <c r="Y26" s="39">
        <v>2495.3635399999998</v>
      </c>
      <c r="Z26" s="40"/>
      <c r="AA26" s="41">
        <v>0</v>
      </c>
      <c r="AB26" s="3"/>
      <c r="AC26" s="89">
        <f t="shared" si="3"/>
        <v>174341.45401686354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95516.495200000005</v>
      </c>
      <c r="C27" s="2">
        <v>16154.837468454705</v>
      </c>
      <c r="D27" s="89">
        <f t="shared" si="1"/>
        <v>111671.33266845471</v>
      </c>
      <c r="E27" s="2">
        <v>1.5751000000000002</v>
      </c>
      <c r="F27" s="89">
        <f t="shared" si="2"/>
        <v>111672.90776845471</v>
      </c>
      <c r="G27" s="2">
        <v>0</v>
      </c>
      <c r="H27" s="2">
        <v>0</v>
      </c>
      <c r="I27" s="2">
        <v>0</v>
      </c>
      <c r="J27" s="2">
        <v>769.8673</v>
      </c>
      <c r="K27" s="2">
        <v>0</v>
      </c>
      <c r="L27" s="2">
        <v>0</v>
      </c>
      <c r="M27" s="2">
        <v>0</v>
      </c>
      <c r="N27" s="2">
        <v>369.22120000000001</v>
      </c>
      <c r="O27" s="2">
        <v>625.1422</v>
      </c>
      <c r="P27" s="2">
        <v>0</v>
      </c>
      <c r="Q27" s="2">
        <v>2882.2872000000002</v>
      </c>
      <c r="R27" s="2">
        <v>0</v>
      </c>
      <c r="S27" s="2">
        <v>0</v>
      </c>
      <c r="T27" s="2">
        <v>0</v>
      </c>
      <c r="U27" s="2">
        <v>2.2000000000000002</v>
      </c>
      <c r="V27" s="2">
        <v>731.12490000000003</v>
      </c>
      <c r="W27" s="89">
        <f t="shared" si="0"/>
        <v>117052.75056845471</v>
      </c>
      <c r="X27" s="3"/>
      <c r="Y27" s="39">
        <v>0</v>
      </c>
      <c r="Z27" s="40"/>
      <c r="AA27" s="41">
        <v>0</v>
      </c>
      <c r="AB27" s="3"/>
      <c r="AC27" s="89">
        <f t="shared" si="3"/>
        <v>117052.75056845471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68909.379000000001</v>
      </c>
      <c r="C28" s="2">
        <v>8467.3630869141598</v>
      </c>
      <c r="D28" s="89">
        <f t="shared" si="1"/>
        <v>77376.742086914164</v>
      </c>
      <c r="E28" s="2">
        <v>0.70829999999999993</v>
      </c>
      <c r="F28" s="89">
        <f t="shared" si="2"/>
        <v>77377.450386914163</v>
      </c>
      <c r="G28" s="2">
        <v>0</v>
      </c>
      <c r="H28" s="2">
        <v>0</v>
      </c>
      <c r="I28" s="2">
        <v>0</v>
      </c>
      <c r="J28" s="2">
        <v>533.43880000000001</v>
      </c>
      <c r="K28" s="2">
        <v>48.209699999999998</v>
      </c>
      <c r="L28" s="2">
        <v>0</v>
      </c>
      <c r="M28" s="2">
        <v>489.3202</v>
      </c>
      <c r="N28" s="2">
        <v>255.84229999999999</v>
      </c>
      <c r="O28" s="2">
        <v>719.90250000000003</v>
      </c>
      <c r="P28" s="2">
        <v>0</v>
      </c>
      <c r="Q28" s="2">
        <v>2526.9367000000002</v>
      </c>
      <c r="R28" s="2">
        <v>0</v>
      </c>
      <c r="S28" s="2">
        <v>0</v>
      </c>
      <c r="T28" s="2">
        <v>0</v>
      </c>
      <c r="U28" s="2">
        <v>3</v>
      </c>
      <c r="V28" s="2">
        <v>506.61409999999995</v>
      </c>
      <c r="W28" s="89">
        <f t="shared" si="0"/>
        <v>82460.714686914187</v>
      </c>
      <c r="X28" s="3"/>
      <c r="Y28" s="39">
        <v>35.780199999999994</v>
      </c>
      <c r="Z28" s="40"/>
      <c r="AA28" s="41">
        <v>0</v>
      </c>
      <c r="AB28" s="3"/>
      <c r="AC28" s="89">
        <f t="shared" si="3"/>
        <v>82496.494886914181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371154.0258</v>
      </c>
      <c r="C29" s="2">
        <v>74646.490371480453</v>
      </c>
      <c r="D29" s="89">
        <f t="shared" si="1"/>
        <v>445800.51617148047</v>
      </c>
      <c r="E29" s="2">
        <v>11.290799999999999</v>
      </c>
      <c r="F29" s="89">
        <f t="shared" si="2"/>
        <v>445811.80697148049</v>
      </c>
      <c r="G29" s="2">
        <v>0</v>
      </c>
      <c r="H29" s="2">
        <v>0</v>
      </c>
      <c r="I29" s="2">
        <v>0</v>
      </c>
      <c r="J29" s="2">
        <v>3072.8907000000004</v>
      </c>
      <c r="K29" s="2">
        <v>662.78899999999999</v>
      </c>
      <c r="L29" s="2">
        <v>5.0000000000000004E-8</v>
      </c>
      <c r="M29" s="2">
        <v>6728.9204</v>
      </c>
      <c r="N29" s="2">
        <v>1473.7588000000001</v>
      </c>
      <c r="O29" s="2">
        <v>3108.2493999999997</v>
      </c>
      <c r="P29" s="2">
        <v>0</v>
      </c>
      <c r="Q29" s="2">
        <v>4548.0376999999999</v>
      </c>
      <c r="R29" s="2">
        <v>0</v>
      </c>
      <c r="S29" s="2">
        <v>0</v>
      </c>
      <c r="T29" s="2">
        <v>0</v>
      </c>
      <c r="U29" s="2">
        <v>0.5</v>
      </c>
      <c r="V29" s="2">
        <v>2918.3081000000002</v>
      </c>
      <c r="W29" s="89">
        <f t="shared" si="0"/>
        <v>468325.26107153046</v>
      </c>
      <c r="X29" s="3"/>
      <c r="Y29" s="39">
        <v>5848.6854400000002</v>
      </c>
      <c r="Z29" s="40"/>
      <c r="AA29" s="41">
        <v>0</v>
      </c>
      <c r="AB29" s="3"/>
      <c r="AC29" s="89">
        <f t="shared" si="3"/>
        <v>474173.94651153043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164927.41509999998</v>
      </c>
      <c r="C30" s="2">
        <v>37211.832513543843</v>
      </c>
      <c r="D30" s="89">
        <f t="shared" si="1"/>
        <v>202139.24761354382</v>
      </c>
      <c r="E30" s="2">
        <v>2.6333000000000002</v>
      </c>
      <c r="F30" s="89">
        <f t="shared" si="2"/>
        <v>202141.88091354381</v>
      </c>
      <c r="G30" s="2">
        <v>0</v>
      </c>
      <c r="H30" s="2">
        <v>0</v>
      </c>
      <c r="I30" s="2">
        <v>0</v>
      </c>
      <c r="J30" s="2">
        <v>1393.5572999999999</v>
      </c>
      <c r="K30" s="2">
        <v>0</v>
      </c>
      <c r="L30" s="2">
        <v>0</v>
      </c>
      <c r="M30" s="2">
        <v>0</v>
      </c>
      <c r="N30" s="2">
        <v>668.35509999999999</v>
      </c>
      <c r="O30" s="2">
        <v>1246.2006000000001</v>
      </c>
      <c r="P30" s="2">
        <v>0</v>
      </c>
      <c r="Q30" s="2">
        <v>3395.5712000000003</v>
      </c>
      <c r="R30" s="2">
        <v>0</v>
      </c>
      <c r="S30" s="2">
        <v>0</v>
      </c>
      <c r="T30" s="2">
        <v>0</v>
      </c>
      <c r="U30" s="2">
        <v>2.2000000000000002</v>
      </c>
      <c r="V30" s="2">
        <v>1323.4643000000001</v>
      </c>
      <c r="W30" s="89">
        <f t="shared" si="0"/>
        <v>210171.2294135438</v>
      </c>
      <c r="X30" s="3"/>
      <c r="Y30" s="39">
        <v>8063.0461399999995</v>
      </c>
      <c r="Z30" s="40"/>
      <c r="AA30" s="41">
        <v>0</v>
      </c>
      <c r="AB30" s="3"/>
      <c r="AC30" s="89">
        <f t="shared" si="3"/>
        <v>218234.27555354379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186530.14740000002</v>
      </c>
      <c r="C31" s="2">
        <v>46236.258961439227</v>
      </c>
      <c r="D31" s="89">
        <f t="shared" si="1"/>
        <v>232766.40636143924</v>
      </c>
      <c r="E31" s="2">
        <v>4.6500000000000004</v>
      </c>
      <c r="F31" s="89">
        <f t="shared" si="2"/>
        <v>232771.05636143923</v>
      </c>
      <c r="G31" s="2">
        <v>0</v>
      </c>
      <c r="H31" s="2">
        <v>0</v>
      </c>
      <c r="I31" s="2">
        <v>0</v>
      </c>
      <c r="J31" s="2">
        <v>1604.7023999999999</v>
      </c>
      <c r="K31" s="2">
        <v>0</v>
      </c>
      <c r="L31" s="2">
        <v>0</v>
      </c>
      <c r="M31" s="2">
        <v>0</v>
      </c>
      <c r="N31" s="2">
        <v>769.61950000000002</v>
      </c>
      <c r="O31" s="2">
        <v>1070.2149999999999</v>
      </c>
      <c r="P31" s="2">
        <v>0</v>
      </c>
      <c r="Q31" s="2">
        <v>3316.6043999999997</v>
      </c>
      <c r="R31" s="2">
        <v>0</v>
      </c>
      <c r="S31" s="2">
        <v>0</v>
      </c>
      <c r="T31" s="2">
        <v>0</v>
      </c>
      <c r="U31" s="2">
        <v>2.2000000000000002</v>
      </c>
      <c r="V31" s="2">
        <v>1523.9863</v>
      </c>
      <c r="W31" s="89">
        <f t="shared" si="0"/>
        <v>241058.38396143925</v>
      </c>
      <c r="X31" s="3"/>
      <c r="Y31" s="39">
        <v>19053.012840899999</v>
      </c>
      <c r="Z31" s="40"/>
      <c r="AA31" s="41">
        <v>0</v>
      </c>
      <c r="AB31" s="3"/>
      <c r="AC31" s="89">
        <f t="shared" si="3"/>
        <v>260111.39680233924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56108.915099999998</v>
      </c>
      <c r="C32" s="2">
        <v>4233.6815434570799</v>
      </c>
      <c r="D32" s="89">
        <f t="shared" si="1"/>
        <v>60342.59664345708</v>
      </c>
      <c r="E32" s="2">
        <v>1</v>
      </c>
      <c r="F32" s="89">
        <f t="shared" si="2"/>
        <v>60343.59664345708</v>
      </c>
      <c r="G32" s="2">
        <v>0</v>
      </c>
      <c r="H32" s="2">
        <v>0</v>
      </c>
      <c r="I32" s="2">
        <v>0</v>
      </c>
      <c r="J32" s="2">
        <v>416.0025</v>
      </c>
      <c r="K32" s="2">
        <v>4.2763</v>
      </c>
      <c r="L32" s="2">
        <v>0</v>
      </c>
      <c r="M32" s="2">
        <v>43.403599999999997</v>
      </c>
      <c r="N32" s="2">
        <v>199.52070000000001</v>
      </c>
      <c r="O32" s="2">
        <v>563.46249999999998</v>
      </c>
      <c r="P32" s="2">
        <v>0</v>
      </c>
      <c r="Q32" s="2">
        <v>2092.6194999999998</v>
      </c>
      <c r="R32" s="2">
        <v>0</v>
      </c>
      <c r="S32" s="2">
        <v>0</v>
      </c>
      <c r="T32" s="2">
        <v>0</v>
      </c>
      <c r="U32" s="2">
        <v>3</v>
      </c>
      <c r="V32" s="2">
        <v>395.0872</v>
      </c>
      <c r="W32" s="89">
        <f t="shared" si="0"/>
        <v>64060.968943457083</v>
      </c>
      <c r="X32" s="3"/>
      <c r="Y32" s="39">
        <v>0</v>
      </c>
      <c r="Z32" s="40"/>
      <c r="AA32" s="43">
        <v>0</v>
      </c>
      <c r="AB32" s="3"/>
      <c r="AC32" s="89">
        <f t="shared" si="3"/>
        <v>64060.968943457083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3899652.0798000009</v>
      </c>
      <c r="C33" s="83">
        <f>SUM(C10:C32)</f>
        <v>1055300.8310427784</v>
      </c>
      <c r="D33" s="83">
        <f>SUM(D10:D32)</f>
        <v>4954952.9108427791</v>
      </c>
      <c r="E33" s="83">
        <f t="shared" ref="E33:W33" si="4">SUM(E10:E32)</f>
        <v>107.0158</v>
      </c>
      <c r="F33" s="83">
        <f>SUM(F10:F32)</f>
        <v>4955059.9266427783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34159.093300000008</v>
      </c>
      <c r="K33" s="83">
        <f t="shared" si="4"/>
        <v>3987.8008000000004</v>
      </c>
      <c r="L33" s="83">
        <f t="shared" si="4"/>
        <v>6.0000000000000008E-8</v>
      </c>
      <c r="M33" s="83">
        <f t="shared" si="4"/>
        <v>40477.381500000003</v>
      </c>
      <c r="N33" s="83">
        <f t="shared" si="4"/>
        <v>16382.680500000002</v>
      </c>
      <c r="O33" s="83">
        <f t="shared" si="4"/>
        <v>32775.061099999999</v>
      </c>
      <c r="P33" s="83">
        <f t="shared" si="4"/>
        <v>0</v>
      </c>
      <c r="Q33" s="83">
        <f t="shared" si="4"/>
        <v>78057.208499999993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32440.678400000001</v>
      </c>
      <c r="W33" s="83">
        <f t="shared" si="4"/>
        <v>5193385.6307428377</v>
      </c>
      <c r="X33" s="48"/>
      <c r="Y33" s="95">
        <f>SUM(Y10:Y32)</f>
        <v>269434.45668090001</v>
      </c>
      <c r="Z33" s="40"/>
      <c r="AA33" s="101">
        <f>SUM(AA10:AA32)</f>
        <v>0</v>
      </c>
      <c r="AB33" s="6"/>
      <c r="AC33" s="93">
        <f>SUM(AC10:AC32)</f>
        <v>5462820.087423739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62567.329600000005</v>
      </c>
      <c r="C34" s="2">
        <v>58119.863782739805</v>
      </c>
      <c r="D34" s="89">
        <f>B34+C34</f>
        <v>120687.19338273982</v>
      </c>
      <c r="E34" s="2">
        <v>0</v>
      </c>
      <c r="F34" s="89">
        <f>D34+E34</f>
        <v>120687.19338273982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1026.568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121713.76138273982</v>
      </c>
      <c r="X34" s="3"/>
      <c r="Y34" s="39"/>
      <c r="Z34" s="40"/>
      <c r="AA34" s="97">
        <v>0</v>
      </c>
      <c r="AB34" s="3"/>
      <c r="AC34" s="89">
        <f>+W34+Y34+AA34</f>
        <v>121713.76138273982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3468894.7568999999</v>
      </c>
      <c r="C36" s="2">
        <v>0</v>
      </c>
      <c r="D36" s="89">
        <f>B36+C36</f>
        <v>3468894.7568999999</v>
      </c>
      <c r="E36" s="2">
        <v>0</v>
      </c>
      <c r="F36" s="89">
        <f>D36+E36</f>
        <v>3468894.7568999999</v>
      </c>
      <c r="G36" s="2">
        <v>0</v>
      </c>
      <c r="H36" s="2">
        <v>0</v>
      </c>
      <c r="I36" s="2">
        <v>0</v>
      </c>
      <c r="J36" s="2">
        <v>24746.206899999997</v>
      </c>
      <c r="K36" s="2">
        <v>0</v>
      </c>
      <c r="L36" s="2">
        <v>0</v>
      </c>
      <c r="M36" s="2">
        <v>0</v>
      </c>
      <c r="N36" s="2">
        <v>0</v>
      </c>
      <c r="O36" s="2">
        <v>54495.980600000003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3548136.9443999999</v>
      </c>
      <c r="X36" s="3"/>
      <c r="Y36" s="39">
        <f>-SUM(Y33)</f>
        <v>-269434.45668090001</v>
      </c>
      <c r="Z36" s="40"/>
      <c r="AA36" s="41">
        <f>-(AA33+AA34)</f>
        <v>0</v>
      </c>
      <c r="AB36" s="3"/>
      <c r="AC36" s="89">
        <f>+W36+Y36+AA36</f>
        <v>3278702.4877191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603193.93709999998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75538.352400000003</v>
      </c>
      <c r="W37" s="89">
        <f>SUM(F37:V37)</f>
        <v>678732.28949999996</v>
      </c>
      <c r="X37" s="3"/>
      <c r="Y37" s="39"/>
      <c r="Z37" s="40"/>
      <c r="AA37" s="41"/>
      <c r="AB37" s="3"/>
      <c r="AC37" s="89">
        <f t="shared" si="3"/>
        <v>678732.28949999996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86205.138099999996</v>
      </c>
      <c r="C38" s="37">
        <v>0</v>
      </c>
      <c r="D38" s="89">
        <f>B38+C38</f>
        <v>86205.138099999996</v>
      </c>
      <c r="E38" s="37">
        <v>0</v>
      </c>
      <c r="F38" s="89">
        <f>D38+E38</f>
        <v>86205.138099999996</v>
      </c>
      <c r="G38" s="37">
        <v>0</v>
      </c>
      <c r="H38" s="37">
        <v>0</v>
      </c>
      <c r="I38" s="37">
        <v>0</v>
      </c>
      <c r="J38" s="37">
        <v>594.28930000000003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86799.4274</v>
      </c>
      <c r="X38" s="3"/>
      <c r="Y38" s="42"/>
      <c r="Z38" s="40"/>
      <c r="AA38" s="43"/>
      <c r="AB38" s="3"/>
      <c r="AC38" s="90">
        <f t="shared" si="3"/>
        <v>86799.4274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7517365.1044000005</v>
      </c>
      <c r="C39" s="85">
        <f>+SUM(C33:C38)</f>
        <v>1113420.6948255182</v>
      </c>
      <c r="D39" s="85">
        <f>+SUM(D33:D38)</f>
        <v>8630785.7992255185</v>
      </c>
      <c r="E39" s="85">
        <f t="shared" ref="E39:V39" si="5">+SUM(E33:E38)</f>
        <v>107.0158</v>
      </c>
      <c r="F39" s="85">
        <f>SUM(F33:F38)</f>
        <v>8630892.8150255177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59499.589500000002</v>
      </c>
      <c r="K39" s="85">
        <f t="shared" si="5"/>
        <v>3987.8008000000004</v>
      </c>
      <c r="L39" s="85">
        <f t="shared" si="5"/>
        <v>6.0000000000000008E-8</v>
      </c>
      <c r="M39" s="85">
        <f t="shared" si="5"/>
        <v>643671.3186</v>
      </c>
      <c r="N39" s="85">
        <f t="shared" si="5"/>
        <v>16382.680500000002</v>
      </c>
      <c r="O39" s="85">
        <f t="shared" si="5"/>
        <v>87271.041700000002</v>
      </c>
      <c r="P39" s="85">
        <f t="shared" si="5"/>
        <v>0</v>
      </c>
      <c r="Q39" s="85">
        <f t="shared" si="5"/>
        <v>79083.776499999993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107979.03080000001</v>
      </c>
      <c r="W39" s="85">
        <f>+SUM(W33:W38)</f>
        <v>9628768.0534255784</v>
      </c>
      <c r="X39" s="47"/>
      <c r="Y39" s="46">
        <f>+SUM(Y33:Y38)</f>
        <v>0</v>
      </c>
      <c r="Z39" s="49"/>
      <c r="AA39" s="102"/>
      <c r="AB39" s="7"/>
      <c r="AC39" s="94">
        <f>+SUM(AC33:AC38)</f>
        <v>9628768.0534255784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3106772.4270000001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5206755.7406000001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280236.37599999999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194.935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11648.784099999999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14951.346800000001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10333.205525518417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8630892.8150255196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8630847.0150255188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E33 F33 D33 F39 W33 AC33:AC34 E3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C04D-8E1A-47D1-A3C0-788C3215C5A2}">
  <sheetPr>
    <pageSetUpPr fitToPage="1"/>
  </sheetPr>
  <dimension ref="A1:AZ77"/>
  <sheetViews>
    <sheetView showGridLines="0" showZeros="0" topLeftCell="J1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1300846.4405</v>
      </c>
      <c r="C10" s="2">
        <v>291418.41290796484</v>
      </c>
      <c r="D10" s="89">
        <f>B10+C10</f>
        <v>1592264.8534079648</v>
      </c>
      <c r="E10" s="2">
        <v>35.008399999999995</v>
      </c>
      <c r="F10" s="89">
        <f>D10+E10</f>
        <v>1592299.8618079647</v>
      </c>
      <c r="G10" s="2">
        <v>0</v>
      </c>
      <c r="H10" s="2">
        <v>0</v>
      </c>
      <c r="I10" s="2">
        <v>0</v>
      </c>
      <c r="J10" s="2">
        <v>8164.96</v>
      </c>
      <c r="K10" s="2">
        <v>1943.8383000000001</v>
      </c>
      <c r="L10" s="2">
        <v>0</v>
      </c>
      <c r="M10" s="2">
        <v>15829.492900000001</v>
      </c>
      <c r="N10" s="2">
        <v>3273.1005</v>
      </c>
      <c r="O10" s="2">
        <v>7050.0865000000003</v>
      </c>
      <c r="P10" s="2">
        <v>173.7822145049301</v>
      </c>
      <c r="Q10" s="2">
        <v>10549.8495</v>
      </c>
      <c r="R10" s="2">
        <v>295.28615141845404</v>
      </c>
      <c r="S10" s="2">
        <v>0</v>
      </c>
      <c r="T10" s="2">
        <v>215.15105235068319</v>
      </c>
      <c r="U10" s="2">
        <v>0</v>
      </c>
      <c r="V10" s="2">
        <v>6888.0715</v>
      </c>
      <c r="W10" s="89">
        <f t="shared" ref="W10:W32" si="0">SUM(F10:V10)</f>
        <v>1646683.4804262386</v>
      </c>
      <c r="X10" s="3"/>
      <c r="Y10" s="39">
        <v>146868.44730100001</v>
      </c>
      <c r="Z10" s="40"/>
      <c r="AA10" s="97">
        <v>0</v>
      </c>
      <c r="AB10" s="3"/>
      <c r="AC10" s="89">
        <f>+W10+Y10+AA10</f>
        <v>1793551.9277272387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186126.64499999999</v>
      </c>
      <c r="C11" s="2">
        <v>13583.061618591582</v>
      </c>
      <c r="D11" s="89">
        <f t="shared" ref="D11:D32" si="1">B11+C11</f>
        <v>199709.70661859156</v>
      </c>
      <c r="E11" s="2">
        <v>1.7832999999999999</v>
      </c>
      <c r="F11" s="89">
        <f t="shared" ref="F11:F32" si="2">D11+E11</f>
        <v>199711.48991859157</v>
      </c>
      <c r="G11" s="2">
        <v>0</v>
      </c>
      <c r="H11" s="2">
        <v>0</v>
      </c>
      <c r="I11" s="2">
        <v>0</v>
      </c>
      <c r="J11" s="2">
        <v>1024.0895</v>
      </c>
      <c r="K11" s="2">
        <v>0</v>
      </c>
      <c r="L11" s="2">
        <v>0</v>
      </c>
      <c r="M11" s="2">
        <v>0</v>
      </c>
      <c r="N11" s="2">
        <v>410.53469999999999</v>
      </c>
      <c r="O11" s="2">
        <v>723.74699999999996</v>
      </c>
      <c r="P11" s="2">
        <v>261.91507080784396</v>
      </c>
      <c r="Q11" s="2">
        <v>1527.9092000000001</v>
      </c>
      <c r="R11" s="2">
        <v>450.90016644538878</v>
      </c>
      <c r="S11" s="2">
        <v>0</v>
      </c>
      <c r="T11" s="2">
        <v>324.2639257963483</v>
      </c>
      <c r="U11" s="2">
        <v>2.2000000000000002</v>
      </c>
      <c r="V11" s="2">
        <v>863.94909999999993</v>
      </c>
      <c r="W11" s="89">
        <f t="shared" si="0"/>
        <v>205300.99858164115</v>
      </c>
      <c r="X11" s="3"/>
      <c r="Y11" s="39">
        <v>8520.0210129999996</v>
      </c>
      <c r="Z11" s="40"/>
      <c r="AA11" s="41">
        <v>0</v>
      </c>
      <c r="AB11" s="3"/>
      <c r="AC11" s="89">
        <f t="shared" ref="AC11:AC38" si="3">+W11+Y11+AA11</f>
        <v>213821.01959464114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581372.60120000003</v>
      </c>
      <c r="C12" s="2">
        <v>62446.802765992157</v>
      </c>
      <c r="D12" s="89">
        <f t="shared" si="1"/>
        <v>643819.40396599215</v>
      </c>
      <c r="E12" s="2">
        <v>10.441700000000001</v>
      </c>
      <c r="F12" s="89">
        <f>D12+E12</f>
        <v>643829.84566599212</v>
      </c>
      <c r="G12" s="2">
        <v>0</v>
      </c>
      <c r="H12" s="2">
        <v>0</v>
      </c>
      <c r="I12" s="2">
        <v>0</v>
      </c>
      <c r="J12" s="2">
        <v>3301.4355</v>
      </c>
      <c r="K12" s="2">
        <v>663.82909999999993</v>
      </c>
      <c r="L12" s="2">
        <v>0</v>
      </c>
      <c r="M12" s="2">
        <v>5405.8397000000004</v>
      </c>
      <c r="N12" s="2">
        <v>1323.46</v>
      </c>
      <c r="O12" s="2">
        <v>3168.1518999999998</v>
      </c>
      <c r="P12" s="2">
        <v>173.7822145049301</v>
      </c>
      <c r="Q12" s="2">
        <v>4110.8033999999998</v>
      </c>
      <c r="R12" s="2">
        <v>279.70957249733073</v>
      </c>
      <c r="S12" s="2">
        <v>0</v>
      </c>
      <c r="T12" s="2">
        <v>215.15105235068319</v>
      </c>
      <c r="U12" s="2">
        <v>0.5</v>
      </c>
      <c r="V12" s="2">
        <v>2785.1532999999999</v>
      </c>
      <c r="W12" s="89">
        <f t="shared" si="0"/>
        <v>665257.66140534496</v>
      </c>
      <c r="X12" s="3"/>
      <c r="Y12" s="39">
        <v>4650.2182699999994</v>
      </c>
      <c r="Z12" s="40"/>
      <c r="AA12" s="41">
        <v>0</v>
      </c>
      <c r="AB12" s="3"/>
      <c r="AC12" s="89">
        <f t="shared" si="3"/>
        <v>669907.87967534491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241137.3284</v>
      </c>
      <c r="C13" s="2">
        <v>28400.947020691361</v>
      </c>
      <c r="D13" s="89">
        <f t="shared" si="1"/>
        <v>269538.27542069135</v>
      </c>
      <c r="E13" s="2">
        <v>3.2166999999999999</v>
      </c>
      <c r="F13" s="89">
        <f t="shared" si="2"/>
        <v>269541.49212069134</v>
      </c>
      <c r="G13" s="2">
        <v>0</v>
      </c>
      <c r="H13" s="2">
        <v>0</v>
      </c>
      <c r="I13" s="2">
        <v>0</v>
      </c>
      <c r="J13" s="2">
        <v>1382.1628000000001</v>
      </c>
      <c r="K13" s="2">
        <v>212.26179999999999</v>
      </c>
      <c r="L13" s="2">
        <v>0</v>
      </c>
      <c r="M13" s="2">
        <v>1728.5371</v>
      </c>
      <c r="N13" s="2">
        <v>554.07269999999994</v>
      </c>
      <c r="O13" s="2">
        <v>933.21190000000001</v>
      </c>
      <c r="P13" s="2">
        <v>220.00735633308489</v>
      </c>
      <c r="Q13" s="2">
        <v>3601.5003999999999</v>
      </c>
      <c r="R13" s="2">
        <v>391.89522059824952</v>
      </c>
      <c r="S13" s="2">
        <v>0</v>
      </c>
      <c r="T13" s="2">
        <v>272.38008431284106</v>
      </c>
      <c r="U13" s="2">
        <v>1.5</v>
      </c>
      <c r="V13" s="2">
        <v>1166.0174999999999</v>
      </c>
      <c r="W13" s="89">
        <f t="shared" si="0"/>
        <v>280005.03898193553</v>
      </c>
      <c r="X13" s="3"/>
      <c r="Y13" s="39">
        <v>7882.7579050000004</v>
      </c>
      <c r="Z13" s="40"/>
      <c r="AA13" s="41">
        <v>0</v>
      </c>
      <c r="AB13" s="3"/>
      <c r="AC13" s="89">
        <f t="shared" si="3"/>
        <v>287887.79688693554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329077.35760000005</v>
      </c>
      <c r="C14" s="2">
        <v>32634.628564148315</v>
      </c>
      <c r="D14" s="89">
        <f t="shared" si="1"/>
        <v>361711.98616414837</v>
      </c>
      <c r="E14" s="2">
        <v>2.8</v>
      </c>
      <c r="F14" s="89">
        <f t="shared" si="2"/>
        <v>361714.78616414836</v>
      </c>
      <c r="G14" s="2">
        <v>0</v>
      </c>
      <c r="H14" s="2">
        <v>0</v>
      </c>
      <c r="I14" s="2">
        <v>0</v>
      </c>
      <c r="J14" s="2">
        <v>1854.8195000000001</v>
      </c>
      <c r="K14" s="2">
        <v>166.87379999999999</v>
      </c>
      <c r="L14" s="2">
        <v>0</v>
      </c>
      <c r="M14" s="2">
        <v>1358.9237000000001</v>
      </c>
      <c r="N14" s="2">
        <v>743.55369999999994</v>
      </c>
      <c r="O14" s="2">
        <v>944.62530000000004</v>
      </c>
      <c r="P14" s="2">
        <v>233.66684640377156</v>
      </c>
      <c r="Q14" s="2">
        <v>3346.8487999999998</v>
      </c>
      <c r="R14" s="2">
        <v>408.7612750281844</v>
      </c>
      <c r="S14" s="2">
        <v>0</v>
      </c>
      <c r="T14" s="2">
        <v>289.29121453758353</v>
      </c>
      <c r="U14" s="2">
        <v>0.5</v>
      </c>
      <c r="V14" s="2">
        <v>1564.7705000000001</v>
      </c>
      <c r="W14" s="89">
        <f t="shared" si="0"/>
        <v>372627.42080011783</v>
      </c>
      <c r="X14" s="3"/>
      <c r="Y14" s="39">
        <v>9498.1489629999996</v>
      </c>
      <c r="Z14" s="40"/>
      <c r="AA14" s="41">
        <v>0</v>
      </c>
      <c r="AB14" s="3"/>
      <c r="AC14" s="89">
        <f t="shared" si="3"/>
        <v>382125.56976311782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101439.85490000001</v>
      </c>
      <c r="C15" s="2">
        <v>13230.254823303383</v>
      </c>
      <c r="D15" s="89">
        <f t="shared" si="1"/>
        <v>114670.10972330339</v>
      </c>
      <c r="E15" s="2">
        <v>2.0167000000000002</v>
      </c>
      <c r="F15" s="89">
        <f t="shared" si="2"/>
        <v>114672.12642330339</v>
      </c>
      <c r="G15" s="2">
        <v>0</v>
      </c>
      <c r="H15" s="2">
        <v>0</v>
      </c>
      <c r="I15" s="2">
        <v>0</v>
      </c>
      <c r="J15" s="2">
        <v>588.01580000000001</v>
      </c>
      <c r="K15" s="2">
        <v>65.277900000000002</v>
      </c>
      <c r="L15" s="2">
        <v>0</v>
      </c>
      <c r="M15" s="2">
        <v>531.58550000000002</v>
      </c>
      <c r="N15" s="2">
        <v>235.72529999999998</v>
      </c>
      <c r="O15" s="2">
        <v>823.99159999999995</v>
      </c>
      <c r="P15" s="2">
        <v>244.99570757556049</v>
      </c>
      <c r="Q15" s="2">
        <v>2328.2427000000002</v>
      </c>
      <c r="R15" s="2">
        <v>554.9412400208646</v>
      </c>
      <c r="S15" s="2">
        <v>0</v>
      </c>
      <c r="T15" s="2">
        <v>303.31690994219304</v>
      </c>
      <c r="U15" s="2">
        <v>3</v>
      </c>
      <c r="V15" s="2">
        <v>496.0718</v>
      </c>
      <c r="W15" s="89">
        <f t="shared" si="0"/>
        <v>120847.29088084202</v>
      </c>
      <c r="X15" s="3"/>
      <c r="Y15" s="39">
        <v>1642.813169</v>
      </c>
      <c r="Z15" s="40"/>
      <c r="AA15" s="41">
        <v>0</v>
      </c>
      <c r="AB15" s="3"/>
      <c r="AC15" s="89">
        <f t="shared" si="3"/>
        <v>122490.10404984202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326423.71189999999</v>
      </c>
      <c r="C16" s="2">
        <v>27607.131731293091</v>
      </c>
      <c r="D16" s="89">
        <f t="shared" si="1"/>
        <v>354030.8436312931</v>
      </c>
      <c r="E16" s="2">
        <v>5.6249000000000002</v>
      </c>
      <c r="F16" s="89">
        <f t="shared" si="2"/>
        <v>354036.4685312931</v>
      </c>
      <c r="G16" s="2">
        <v>0</v>
      </c>
      <c r="H16" s="2">
        <v>0</v>
      </c>
      <c r="I16" s="2">
        <v>0</v>
      </c>
      <c r="J16" s="2">
        <v>1815.4313999999999</v>
      </c>
      <c r="K16" s="2">
        <v>288.08719999999994</v>
      </c>
      <c r="L16" s="2">
        <v>0</v>
      </c>
      <c r="M16" s="2">
        <v>2346.0153999999998</v>
      </c>
      <c r="N16" s="2">
        <v>727.75229999999999</v>
      </c>
      <c r="O16" s="2">
        <v>1189.3403999999998</v>
      </c>
      <c r="P16" s="2">
        <v>201.0931752725034</v>
      </c>
      <c r="Q16" s="2">
        <v>2837.5457000000001</v>
      </c>
      <c r="R16" s="2">
        <v>390.5864471655446</v>
      </c>
      <c r="S16" s="2">
        <v>0</v>
      </c>
      <c r="T16" s="2">
        <v>248.96338443843604</v>
      </c>
      <c r="U16" s="2">
        <v>1.8</v>
      </c>
      <c r="V16" s="2">
        <v>1531.5173</v>
      </c>
      <c r="W16" s="89">
        <f t="shared" si="0"/>
        <v>365614.60123816953</v>
      </c>
      <c r="X16" s="3"/>
      <c r="Y16" s="39">
        <v>3711.4046910000002</v>
      </c>
      <c r="Z16" s="40"/>
      <c r="AA16" s="41">
        <v>0</v>
      </c>
      <c r="AB16" s="3"/>
      <c r="AC16" s="89">
        <f t="shared" si="3"/>
        <v>369326.00592916954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245341.43150000001</v>
      </c>
      <c r="C17" s="2">
        <v>18610.558451446817</v>
      </c>
      <c r="D17" s="89">
        <f t="shared" si="1"/>
        <v>263951.98995144683</v>
      </c>
      <c r="E17" s="2">
        <v>1.7251000000000001</v>
      </c>
      <c r="F17" s="89">
        <f t="shared" si="2"/>
        <v>263953.71505144681</v>
      </c>
      <c r="G17" s="2">
        <v>0</v>
      </c>
      <c r="H17" s="2">
        <v>0</v>
      </c>
      <c r="I17" s="2">
        <v>0</v>
      </c>
      <c r="J17" s="2">
        <v>1353.5168999999999</v>
      </c>
      <c r="K17" s="2">
        <v>77.733100000000007</v>
      </c>
      <c r="L17" s="2">
        <v>0</v>
      </c>
      <c r="M17" s="2">
        <v>633.01319999999998</v>
      </c>
      <c r="N17" s="2">
        <v>542.59450000000004</v>
      </c>
      <c r="O17" s="2">
        <v>636.45740000000001</v>
      </c>
      <c r="P17" s="2">
        <v>270.014131464336</v>
      </c>
      <c r="Q17" s="2">
        <v>2910.3033</v>
      </c>
      <c r="R17" s="2">
        <v>426.34896583272848</v>
      </c>
      <c r="S17" s="2">
        <v>0</v>
      </c>
      <c r="T17" s="2">
        <v>334.29096698096112</v>
      </c>
      <c r="U17" s="2">
        <v>2.2000000000000002</v>
      </c>
      <c r="V17" s="2">
        <v>1141.8621000000001</v>
      </c>
      <c r="W17" s="89">
        <f t="shared" si="0"/>
        <v>272282.04961572494</v>
      </c>
      <c r="X17" s="3"/>
      <c r="Y17" s="39">
        <v>4374.3155459999998</v>
      </c>
      <c r="Z17" s="40"/>
      <c r="AA17" s="41">
        <v>0</v>
      </c>
      <c r="AB17" s="3"/>
      <c r="AC17" s="89">
        <f t="shared" si="3"/>
        <v>276656.36516172497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188089.33300000001</v>
      </c>
      <c r="C18" s="2">
        <v>17904.944860870695</v>
      </c>
      <c r="D18" s="89">
        <f t="shared" si="1"/>
        <v>205994.2778608707</v>
      </c>
      <c r="E18" s="2">
        <v>2.7749999999999999</v>
      </c>
      <c r="F18" s="89">
        <f t="shared" si="2"/>
        <v>205997.0528608707</v>
      </c>
      <c r="G18" s="2">
        <v>0</v>
      </c>
      <c r="H18" s="2">
        <v>0</v>
      </c>
      <c r="I18" s="2">
        <v>0</v>
      </c>
      <c r="J18" s="2">
        <v>1056.3161</v>
      </c>
      <c r="K18" s="2">
        <v>0</v>
      </c>
      <c r="L18" s="2">
        <v>0</v>
      </c>
      <c r="M18" s="2">
        <v>0</v>
      </c>
      <c r="N18" s="2">
        <v>423.44390000000004</v>
      </c>
      <c r="O18" s="2">
        <v>707.46119999999996</v>
      </c>
      <c r="P18" s="2">
        <v>217.89174676748701</v>
      </c>
      <c r="Q18" s="2">
        <v>2182.7275</v>
      </c>
      <c r="R18" s="2">
        <v>416.19868459375488</v>
      </c>
      <c r="S18" s="2">
        <v>0</v>
      </c>
      <c r="T18" s="2">
        <v>269.76085410994079</v>
      </c>
      <c r="U18" s="2">
        <v>2.2000000000000002</v>
      </c>
      <c r="V18" s="2">
        <v>891.11590000000001</v>
      </c>
      <c r="W18" s="89">
        <f t="shared" si="0"/>
        <v>212164.16874634189</v>
      </c>
      <c r="X18" s="3"/>
      <c r="Y18" s="39">
        <v>4409.1921359999997</v>
      </c>
      <c r="Z18" s="40"/>
      <c r="AA18" s="41">
        <v>0</v>
      </c>
      <c r="AB18" s="3"/>
      <c r="AC18" s="89">
        <f t="shared" si="3"/>
        <v>216573.36088234189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129464.1394</v>
      </c>
      <c r="C19" s="2">
        <v>9349.3800751344843</v>
      </c>
      <c r="D19" s="89">
        <f t="shared" si="1"/>
        <v>138813.5194751345</v>
      </c>
      <c r="E19" s="2">
        <v>1.6</v>
      </c>
      <c r="F19" s="89">
        <f t="shared" si="2"/>
        <v>138815.1194751345</v>
      </c>
      <c r="G19" s="2">
        <v>0</v>
      </c>
      <c r="H19" s="2">
        <v>0</v>
      </c>
      <c r="I19" s="2">
        <v>0</v>
      </c>
      <c r="J19" s="2">
        <v>711.76480000000004</v>
      </c>
      <c r="K19" s="2">
        <v>57.322499999999998</v>
      </c>
      <c r="L19" s="2">
        <v>1E-8</v>
      </c>
      <c r="M19" s="2">
        <v>466.98740000000004</v>
      </c>
      <c r="N19" s="2">
        <v>285.32679999999999</v>
      </c>
      <c r="O19" s="2">
        <v>892.94630000000006</v>
      </c>
      <c r="P19" s="2">
        <v>193.42716049481086</v>
      </c>
      <c r="Q19" s="2">
        <v>1483.3332</v>
      </c>
      <c r="R19" s="2">
        <v>538.45952103145362</v>
      </c>
      <c r="S19" s="2">
        <v>0</v>
      </c>
      <c r="T19" s="2">
        <v>239.47247565521147</v>
      </c>
      <c r="U19" s="2">
        <v>2.5</v>
      </c>
      <c r="V19" s="2">
        <v>600.45630000000006</v>
      </c>
      <c r="W19" s="89">
        <f t="shared" si="0"/>
        <v>144287.11593232601</v>
      </c>
      <c r="X19" s="3"/>
      <c r="Y19" s="39">
        <v>0</v>
      </c>
      <c r="Z19" s="40"/>
      <c r="AA19" s="41">
        <v>0</v>
      </c>
      <c r="AB19" s="3"/>
      <c r="AC19" s="89">
        <f t="shared" si="3"/>
        <v>144287.11593232601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139547.21900000001</v>
      </c>
      <c r="C20" s="2">
        <v>10584.203858642677</v>
      </c>
      <c r="D20" s="89">
        <f t="shared" si="1"/>
        <v>150131.42285864268</v>
      </c>
      <c r="E20" s="2">
        <v>1.6916</v>
      </c>
      <c r="F20" s="89">
        <f t="shared" si="2"/>
        <v>150133.11445864267</v>
      </c>
      <c r="G20" s="2">
        <v>0</v>
      </c>
      <c r="H20" s="2">
        <v>0</v>
      </c>
      <c r="I20" s="2">
        <v>0</v>
      </c>
      <c r="J20" s="2">
        <v>769.85749999999996</v>
      </c>
      <c r="K20" s="2">
        <v>0</v>
      </c>
      <c r="L20" s="2">
        <v>0</v>
      </c>
      <c r="M20" s="2">
        <v>0</v>
      </c>
      <c r="N20" s="2">
        <v>308.61649999999997</v>
      </c>
      <c r="O20" s="2">
        <v>551.81110000000001</v>
      </c>
      <c r="P20" s="2">
        <v>254.84449413105085</v>
      </c>
      <c r="Q20" s="2">
        <v>1455.1516999999999</v>
      </c>
      <c r="R20" s="2">
        <v>486.67922128411487</v>
      </c>
      <c r="S20" s="2">
        <v>0</v>
      </c>
      <c r="T20" s="2">
        <v>315.51019908021959</v>
      </c>
      <c r="U20" s="2">
        <v>2.2000000000000002</v>
      </c>
      <c r="V20" s="2">
        <v>649.46759999999995</v>
      </c>
      <c r="W20" s="89">
        <f t="shared" si="0"/>
        <v>154927.25277313805</v>
      </c>
      <c r="X20" s="3"/>
      <c r="Y20" s="39">
        <v>1070.375659</v>
      </c>
      <c r="Z20" s="40"/>
      <c r="AA20" s="41">
        <v>0</v>
      </c>
      <c r="AB20" s="3"/>
      <c r="AC20" s="89">
        <f t="shared" si="3"/>
        <v>155997.62843213807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261961.3247</v>
      </c>
      <c r="C21" s="2">
        <v>40396.378060486699</v>
      </c>
      <c r="D21" s="89">
        <f t="shared" si="1"/>
        <v>302357.70276048669</v>
      </c>
      <c r="E21" s="2">
        <v>5.1416000000000004</v>
      </c>
      <c r="F21" s="89">
        <f t="shared" si="2"/>
        <v>302362.84436048666</v>
      </c>
      <c r="G21" s="2">
        <v>0</v>
      </c>
      <c r="H21" s="2">
        <v>0</v>
      </c>
      <c r="I21" s="2">
        <v>0</v>
      </c>
      <c r="J21" s="2">
        <v>1550.4572000000001</v>
      </c>
      <c r="K21" s="2">
        <v>0</v>
      </c>
      <c r="L21" s="2">
        <v>0</v>
      </c>
      <c r="M21" s="2">
        <v>0</v>
      </c>
      <c r="N21" s="2">
        <v>621.54110000000003</v>
      </c>
      <c r="O21" s="2">
        <v>1292.2356000000002</v>
      </c>
      <c r="P21" s="2">
        <v>197.80874278770665</v>
      </c>
      <c r="Q21" s="2">
        <v>2910.3033</v>
      </c>
      <c r="R21" s="2">
        <v>315.05042988729247</v>
      </c>
      <c r="S21" s="2">
        <v>0</v>
      </c>
      <c r="T21" s="2">
        <v>244.89709314884098</v>
      </c>
      <c r="U21" s="2">
        <v>2.2000000000000002</v>
      </c>
      <c r="V21" s="2">
        <v>1308.0013000000001</v>
      </c>
      <c r="W21" s="89">
        <f t="shared" si="0"/>
        <v>310805.33912631054</v>
      </c>
      <c r="X21" s="3"/>
      <c r="Y21" s="39">
        <v>6461.4945590000007</v>
      </c>
      <c r="Z21" s="40"/>
      <c r="AA21" s="41">
        <v>0</v>
      </c>
      <c r="AB21" s="3"/>
      <c r="AC21" s="89">
        <f t="shared" si="3"/>
        <v>317266.83368531056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204848.72319999998</v>
      </c>
      <c r="C22" s="2">
        <v>34663.267637054865</v>
      </c>
      <c r="D22" s="89">
        <f t="shared" si="1"/>
        <v>239511.99083705485</v>
      </c>
      <c r="E22" s="2">
        <v>2.8416999999999999</v>
      </c>
      <c r="F22" s="89">
        <f t="shared" si="2"/>
        <v>239514.83253705484</v>
      </c>
      <c r="G22" s="2">
        <v>0</v>
      </c>
      <c r="H22" s="2">
        <v>0</v>
      </c>
      <c r="I22" s="2">
        <v>0</v>
      </c>
      <c r="J22" s="2">
        <v>1228.1913</v>
      </c>
      <c r="K22" s="2">
        <v>91.133600000000001</v>
      </c>
      <c r="L22" s="2">
        <v>0</v>
      </c>
      <c r="M22" s="2">
        <v>742.13909999999998</v>
      </c>
      <c r="N22" s="2">
        <v>492.34340000000003</v>
      </c>
      <c r="O22" s="2">
        <v>863.82619999999997</v>
      </c>
      <c r="P22" s="2">
        <v>255.86345510074986</v>
      </c>
      <c r="Q22" s="2">
        <v>3419.6064000000001</v>
      </c>
      <c r="R22" s="2">
        <v>351.41799827840174</v>
      </c>
      <c r="S22" s="2">
        <v>0</v>
      </c>
      <c r="T22" s="2">
        <v>316.77172360351022</v>
      </c>
      <c r="U22" s="2">
        <v>2.2000000000000002</v>
      </c>
      <c r="V22" s="2">
        <v>1036.1113</v>
      </c>
      <c r="W22" s="89">
        <f t="shared" si="0"/>
        <v>248314.43701403751</v>
      </c>
      <c r="X22" s="3"/>
      <c r="Y22" s="39">
        <v>12612.567175709999</v>
      </c>
      <c r="Z22" s="40"/>
      <c r="AA22" s="41">
        <v>0</v>
      </c>
      <c r="AB22" s="3"/>
      <c r="AC22" s="89">
        <f t="shared" si="3"/>
        <v>260927.0041897475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110848.3919</v>
      </c>
      <c r="C23" s="2">
        <v>14994.288799743943</v>
      </c>
      <c r="D23" s="89">
        <f t="shared" si="1"/>
        <v>125842.68069974394</v>
      </c>
      <c r="E23" s="2">
        <v>1.4499</v>
      </c>
      <c r="F23" s="89">
        <f t="shared" si="2"/>
        <v>125844.13059974395</v>
      </c>
      <c r="G23" s="2">
        <v>0</v>
      </c>
      <c r="H23" s="2">
        <v>0</v>
      </c>
      <c r="I23" s="2">
        <v>0</v>
      </c>
      <c r="J23" s="2">
        <v>645.3075</v>
      </c>
      <c r="K23" s="2">
        <v>40.985399999999998</v>
      </c>
      <c r="L23" s="2">
        <v>0</v>
      </c>
      <c r="M23" s="2">
        <v>333.76079999999996</v>
      </c>
      <c r="N23" s="2">
        <v>258.68170000000003</v>
      </c>
      <c r="O23" s="2">
        <v>1098.8568</v>
      </c>
      <c r="P23" s="2">
        <v>227.21175622197785</v>
      </c>
      <c r="Q23" s="2">
        <v>3128.5761000000002</v>
      </c>
      <c r="R23" s="2">
        <v>362.00442860667147</v>
      </c>
      <c r="S23" s="2">
        <v>0</v>
      </c>
      <c r="T23" s="2">
        <v>281.2994908283485</v>
      </c>
      <c r="U23" s="2">
        <v>2.5</v>
      </c>
      <c r="V23" s="2">
        <v>544.38240000000008</v>
      </c>
      <c r="W23" s="89">
        <f t="shared" si="0"/>
        <v>132767.69697540096</v>
      </c>
      <c r="X23" s="3"/>
      <c r="Y23" s="39">
        <v>2312.4609489999998</v>
      </c>
      <c r="Z23" s="40"/>
      <c r="AA23" s="41">
        <v>0</v>
      </c>
      <c r="AB23" s="3"/>
      <c r="AC23" s="89">
        <f t="shared" si="3"/>
        <v>135080.15792440096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166809.9393</v>
      </c>
      <c r="C24" s="2">
        <v>16140.91088443013</v>
      </c>
      <c r="D24" s="89">
        <f t="shared" si="1"/>
        <v>182950.85018443014</v>
      </c>
      <c r="E24" s="2">
        <v>1.2167000000000001</v>
      </c>
      <c r="F24" s="89">
        <f t="shared" si="2"/>
        <v>182952.06688443013</v>
      </c>
      <c r="G24" s="2">
        <v>0</v>
      </c>
      <c r="H24" s="2">
        <v>0</v>
      </c>
      <c r="I24" s="2">
        <v>0</v>
      </c>
      <c r="J24" s="2">
        <v>938.15200000000004</v>
      </c>
      <c r="K24" s="2">
        <v>0</v>
      </c>
      <c r="L24" s="2">
        <v>0</v>
      </c>
      <c r="M24" s="2">
        <v>0</v>
      </c>
      <c r="N24" s="2">
        <v>376.08499999999998</v>
      </c>
      <c r="O24" s="2">
        <v>832.72259999999994</v>
      </c>
      <c r="P24" s="2">
        <v>211.12039275739363</v>
      </c>
      <c r="Q24" s="2">
        <v>3274.0912000000003</v>
      </c>
      <c r="R24" s="2">
        <v>338.40192549756722</v>
      </c>
      <c r="S24" s="2">
        <v>0</v>
      </c>
      <c r="T24" s="2">
        <v>261.37757998582151</v>
      </c>
      <c r="U24" s="2">
        <v>2.5</v>
      </c>
      <c r="V24" s="2">
        <v>791.45140000000004</v>
      </c>
      <c r="W24" s="89">
        <f t="shared" si="0"/>
        <v>189977.96898267089</v>
      </c>
      <c r="X24" s="3"/>
      <c r="Y24" s="39">
        <v>1927.704033</v>
      </c>
      <c r="Z24" s="40"/>
      <c r="AA24" s="41">
        <v>0</v>
      </c>
      <c r="AB24" s="3"/>
      <c r="AC24" s="89">
        <f t="shared" si="3"/>
        <v>191905.67301567088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244401.05809999999</v>
      </c>
      <c r="C25" s="2">
        <v>33516.645552368733</v>
      </c>
      <c r="D25" s="89">
        <f t="shared" si="1"/>
        <v>277917.70365236874</v>
      </c>
      <c r="E25" s="2">
        <v>3.3167</v>
      </c>
      <c r="F25" s="89">
        <f t="shared" si="2"/>
        <v>277921.02035236877</v>
      </c>
      <c r="G25" s="2">
        <v>0</v>
      </c>
      <c r="H25" s="2">
        <v>0</v>
      </c>
      <c r="I25" s="2">
        <v>0</v>
      </c>
      <c r="J25" s="2">
        <v>1425.1316000000002</v>
      </c>
      <c r="K25" s="2">
        <v>0</v>
      </c>
      <c r="L25" s="2">
        <v>0</v>
      </c>
      <c r="M25" s="2">
        <v>0</v>
      </c>
      <c r="N25" s="2">
        <v>571.30509999999992</v>
      </c>
      <c r="O25" s="2">
        <v>992.42899999999997</v>
      </c>
      <c r="P25" s="2">
        <v>215.98514197958883</v>
      </c>
      <c r="Q25" s="2">
        <v>2910.3033</v>
      </c>
      <c r="R25" s="2">
        <v>492.41725179614957</v>
      </c>
      <c r="S25" s="2">
        <v>0</v>
      </c>
      <c r="T25" s="2">
        <v>267.40038225024023</v>
      </c>
      <c r="U25" s="2">
        <v>2.5</v>
      </c>
      <c r="V25" s="2">
        <v>1202.2821000000001</v>
      </c>
      <c r="W25" s="89">
        <f t="shared" si="0"/>
        <v>286000.77422839485</v>
      </c>
      <c r="X25" s="3"/>
      <c r="Y25" s="39">
        <v>26050.937131999999</v>
      </c>
      <c r="Z25" s="40"/>
      <c r="AA25" s="41">
        <v>0</v>
      </c>
      <c r="AB25" s="3"/>
      <c r="AC25" s="89">
        <f t="shared" si="3"/>
        <v>312051.71136039484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223136.0534</v>
      </c>
      <c r="C26" s="2">
        <v>21962.223006683624</v>
      </c>
      <c r="D26" s="89">
        <f t="shared" si="1"/>
        <v>245098.27640668364</v>
      </c>
      <c r="E26" s="2">
        <v>2.5083000000000002</v>
      </c>
      <c r="F26" s="89">
        <f t="shared" si="2"/>
        <v>245100.78470668363</v>
      </c>
      <c r="G26" s="2">
        <v>0</v>
      </c>
      <c r="H26" s="2">
        <v>0</v>
      </c>
      <c r="I26" s="2">
        <v>0</v>
      </c>
      <c r="J26" s="2">
        <v>1256.8371999999999</v>
      </c>
      <c r="K26" s="2">
        <v>0</v>
      </c>
      <c r="L26" s="2">
        <v>0</v>
      </c>
      <c r="M26" s="2">
        <v>0</v>
      </c>
      <c r="N26" s="2">
        <v>503.83670000000001</v>
      </c>
      <c r="O26" s="2">
        <v>739.48059999999998</v>
      </c>
      <c r="P26" s="2">
        <v>200.09376150490436</v>
      </c>
      <c r="Q26" s="2">
        <v>2655.6517999999996</v>
      </c>
      <c r="R26" s="2">
        <v>313.26186827157295</v>
      </c>
      <c r="S26" s="2">
        <v>0</v>
      </c>
      <c r="T26" s="2">
        <v>247.7260603403314</v>
      </c>
      <c r="U26" s="2">
        <v>2.2000000000000002</v>
      </c>
      <c r="V26" s="2">
        <v>1060.2983000000002</v>
      </c>
      <c r="W26" s="89">
        <f t="shared" si="0"/>
        <v>252080.17099680047</v>
      </c>
      <c r="X26" s="3"/>
      <c r="Y26" s="39">
        <v>2370.5953629999999</v>
      </c>
      <c r="Z26" s="40"/>
      <c r="AA26" s="41">
        <v>0</v>
      </c>
      <c r="AB26" s="3"/>
      <c r="AC26" s="89">
        <f t="shared" si="3"/>
        <v>254450.76635980047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152704.46159999998</v>
      </c>
      <c r="C27" s="2">
        <v>12789.246329193313</v>
      </c>
      <c r="D27" s="89">
        <f t="shared" si="1"/>
        <v>165493.7079291933</v>
      </c>
      <c r="E27" s="2">
        <v>1.5751000000000002</v>
      </c>
      <c r="F27" s="89">
        <f t="shared" si="2"/>
        <v>165495.28302919329</v>
      </c>
      <c r="G27" s="2">
        <v>0</v>
      </c>
      <c r="H27" s="2">
        <v>0</v>
      </c>
      <c r="I27" s="2">
        <v>0</v>
      </c>
      <c r="J27" s="2">
        <v>848.6336</v>
      </c>
      <c r="K27" s="2">
        <v>0</v>
      </c>
      <c r="L27" s="2">
        <v>0</v>
      </c>
      <c r="M27" s="2">
        <v>0</v>
      </c>
      <c r="N27" s="2">
        <v>340.18920000000003</v>
      </c>
      <c r="O27" s="2">
        <v>575.98709999999994</v>
      </c>
      <c r="P27" s="2">
        <v>196.01641399980838</v>
      </c>
      <c r="Q27" s="2">
        <v>2655.6517999999996</v>
      </c>
      <c r="R27" s="2">
        <v>359.80418429525463</v>
      </c>
      <c r="S27" s="2">
        <v>0</v>
      </c>
      <c r="T27" s="2">
        <v>242.67810069370756</v>
      </c>
      <c r="U27" s="2">
        <v>2.2000000000000002</v>
      </c>
      <c r="V27" s="2">
        <v>715.91059999999993</v>
      </c>
      <c r="W27" s="89">
        <f t="shared" si="0"/>
        <v>171432.35402818208</v>
      </c>
      <c r="X27" s="3"/>
      <c r="Y27" s="39">
        <v>0</v>
      </c>
      <c r="Z27" s="40"/>
      <c r="AA27" s="41">
        <v>0</v>
      </c>
      <c r="AB27" s="3"/>
      <c r="AC27" s="89">
        <f t="shared" si="3"/>
        <v>171432.35402818208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107966.7806</v>
      </c>
      <c r="C28" s="2">
        <v>6703.3291104737054</v>
      </c>
      <c r="D28" s="89">
        <f t="shared" si="1"/>
        <v>114670.1097104737</v>
      </c>
      <c r="E28" s="2">
        <v>0.70829999999999993</v>
      </c>
      <c r="F28" s="89">
        <f t="shared" si="2"/>
        <v>114670.8180104737</v>
      </c>
      <c r="G28" s="2">
        <v>0</v>
      </c>
      <c r="H28" s="2">
        <v>0</v>
      </c>
      <c r="I28" s="2">
        <v>0</v>
      </c>
      <c r="J28" s="2">
        <v>588.01580000000001</v>
      </c>
      <c r="K28" s="2">
        <v>53.142099999999999</v>
      </c>
      <c r="L28" s="2">
        <v>0</v>
      </c>
      <c r="M28" s="2">
        <v>432.75819999999999</v>
      </c>
      <c r="N28" s="2">
        <v>235.72529999999998</v>
      </c>
      <c r="O28" s="2">
        <v>663.29630000000009</v>
      </c>
      <c r="P28" s="2">
        <v>275.80612013103041</v>
      </c>
      <c r="Q28" s="2">
        <v>2328.2427000000002</v>
      </c>
      <c r="R28" s="2">
        <v>683.08918930087998</v>
      </c>
      <c r="S28" s="2">
        <v>0</v>
      </c>
      <c r="T28" s="2">
        <v>341.46173793658647</v>
      </c>
      <c r="U28" s="2">
        <v>3</v>
      </c>
      <c r="V28" s="2">
        <v>496.0718</v>
      </c>
      <c r="W28" s="89">
        <f t="shared" si="0"/>
        <v>120771.4272578422</v>
      </c>
      <c r="X28" s="3"/>
      <c r="Y28" s="39">
        <v>33.991190000000003</v>
      </c>
      <c r="Z28" s="40"/>
      <c r="AA28" s="41">
        <v>0</v>
      </c>
      <c r="AB28" s="3"/>
      <c r="AC28" s="89">
        <f t="shared" si="3"/>
        <v>120805.4184478422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601514.84149999998</v>
      </c>
      <c r="C29" s="2">
        <v>59095.138210755373</v>
      </c>
      <c r="D29" s="89">
        <f t="shared" si="1"/>
        <v>660609.9797107554</v>
      </c>
      <c r="E29" s="2">
        <v>11.290799999999999</v>
      </c>
      <c r="F29" s="89">
        <f t="shared" si="2"/>
        <v>660621.27051075536</v>
      </c>
      <c r="G29" s="2">
        <v>0</v>
      </c>
      <c r="H29" s="2">
        <v>0</v>
      </c>
      <c r="I29" s="2">
        <v>0</v>
      </c>
      <c r="J29" s="2">
        <v>3387.2705000000001</v>
      </c>
      <c r="K29" s="2">
        <v>730.59730000000002</v>
      </c>
      <c r="L29" s="2">
        <v>5.0000000000000004E-8</v>
      </c>
      <c r="M29" s="2">
        <v>5951.9321000000009</v>
      </c>
      <c r="N29" s="2">
        <v>1357.8742</v>
      </c>
      <c r="O29" s="2">
        <v>2863.8415</v>
      </c>
      <c r="P29" s="2">
        <v>173.7822145049301</v>
      </c>
      <c r="Q29" s="2">
        <v>4190.4164000000001</v>
      </c>
      <c r="R29" s="2">
        <v>257.92661364341683</v>
      </c>
      <c r="S29" s="2">
        <v>0</v>
      </c>
      <c r="T29" s="2">
        <v>215.15105235068319</v>
      </c>
      <c r="U29" s="2">
        <v>0.5</v>
      </c>
      <c r="V29" s="2">
        <v>2857.5798</v>
      </c>
      <c r="W29" s="89">
        <f t="shared" si="0"/>
        <v>682608.14219130413</v>
      </c>
      <c r="X29" s="3"/>
      <c r="Y29" s="39">
        <v>5556.2511679999998</v>
      </c>
      <c r="Z29" s="40"/>
      <c r="AA29" s="41">
        <v>0</v>
      </c>
      <c r="AB29" s="3"/>
      <c r="AC29" s="89">
        <f t="shared" si="3"/>
        <v>688164.39335930417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270105.19260000001</v>
      </c>
      <c r="C30" s="2">
        <v>29459.367406555524</v>
      </c>
      <c r="D30" s="89">
        <f t="shared" si="1"/>
        <v>299564.56000655552</v>
      </c>
      <c r="E30" s="2">
        <v>2.6333000000000002</v>
      </c>
      <c r="F30" s="89">
        <f t="shared" si="2"/>
        <v>299567.19330655551</v>
      </c>
      <c r="G30" s="2">
        <v>0</v>
      </c>
      <c r="H30" s="2">
        <v>0</v>
      </c>
      <c r="I30" s="2">
        <v>0</v>
      </c>
      <c r="J30" s="2">
        <v>1536.1342999999999</v>
      </c>
      <c r="K30" s="2">
        <v>0</v>
      </c>
      <c r="L30" s="2">
        <v>0</v>
      </c>
      <c r="M30" s="2">
        <v>0</v>
      </c>
      <c r="N30" s="2">
        <v>615.80200000000002</v>
      </c>
      <c r="O30" s="2">
        <v>1148.2112999999999</v>
      </c>
      <c r="P30" s="2">
        <v>231.70661209067347</v>
      </c>
      <c r="Q30" s="2">
        <v>3128.5761000000002</v>
      </c>
      <c r="R30" s="2">
        <v>422.40515342032148</v>
      </c>
      <c r="S30" s="2">
        <v>0</v>
      </c>
      <c r="T30" s="2">
        <v>286.86434665732133</v>
      </c>
      <c r="U30" s="2">
        <v>2.2000000000000002</v>
      </c>
      <c r="V30" s="2">
        <v>1295.9237000000001</v>
      </c>
      <c r="W30" s="89">
        <f t="shared" si="0"/>
        <v>308235.01681872387</v>
      </c>
      <c r="X30" s="3"/>
      <c r="Y30" s="39">
        <v>7659.8938330000001</v>
      </c>
      <c r="Z30" s="40"/>
      <c r="AA30" s="41">
        <v>0</v>
      </c>
      <c r="AB30" s="3"/>
      <c r="AC30" s="89">
        <f t="shared" si="3"/>
        <v>315894.91065172385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308349.42469999997</v>
      </c>
      <c r="C31" s="2">
        <v>36603.705011139369</v>
      </c>
      <c r="D31" s="89">
        <f t="shared" si="1"/>
        <v>344953.12971113937</v>
      </c>
      <c r="E31" s="2">
        <v>4.6500000000000004</v>
      </c>
      <c r="F31" s="89">
        <f t="shared" si="2"/>
        <v>344957.77971113939</v>
      </c>
      <c r="G31" s="2">
        <v>0</v>
      </c>
      <c r="H31" s="2">
        <v>0</v>
      </c>
      <c r="I31" s="2">
        <v>0</v>
      </c>
      <c r="J31" s="2">
        <v>1768.8818999999999</v>
      </c>
      <c r="K31" s="2">
        <v>0</v>
      </c>
      <c r="L31" s="2">
        <v>0</v>
      </c>
      <c r="M31" s="2">
        <v>0</v>
      </c>
      <c r="N31" s="2">
        <v>709.10400000000004</v>
      </c>
      <c r="O31" s="2">
        <v>986.06349999999998</v>
      </c>
      <c r="P31" s="2">
        <v>178.4645231410255</v>
      </c>
      <c r="Q31" s="2">
        <v>3055.8184999999999</v>
      </c>
      <c r="R31" s="2">
        <v>519.13173530390532</v>
      </c>
      <c r="S31" s="2">
        <v>0</v>
      </c>
      <c r="T31" s="2">
        <v>220.94798405034499</v>
      </c>
      <c r="U31" s="2">
        <v>2.2000000000000002</v>
      </c>
      <c r="V31" s="2">
        <v>1492.2728</v>
      </c>
      <c r="W31" s="89">
        <f t="shared" si="0"/>
        <v>353890.66465363459</v>
      </c>
      <c r="X31" s="3"/>
      <c r="Y31" s="39">
        <v>15396.552334</v>
      </c>
      <c r="Z31" s="40"/>
      <c r="AA31" s="41">
        <v>0</v>
      </c>
      <c r="AB31" s="3"/>
      <c r="AC31" s="89">
        <f t="shared" si="3"/>
        <v>369287.2169876346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86074.181500000006</v>
      </c>
      <c r="C32" s="2">
        <v>3351.6645552368527</v>
      </c>
      <c r="D32" s="89">
        <f t="shared" si="1"/>
        <v>89425.846055236863</v>
      </c>
      <c r="E32" s="2">
        <v>1</v>
      </c>
      <c r="F32" s="89">
        <f t="shared" si="2"/>
        <v>89426.846055236863</v>
      </c>
      <c r="G32" s="2">
        <v>0</v>
      </c>
      <c r="H32" s="2">
        <v>0</v>
      </c>
      <c r="I32" s="2">
        <v>0</v>
      </c>
      <c r="J32" s="2">
        <v>458.56440000000003</v>
      </c>
      <c r="K32" s="2">
        <v>4.7138</v>
      </c>
      <c r="L32" s="2">
        <v>0</v>
      </c>
      <c r="M32" s="2">
        <v>38.386499999999998</v>
      </c>
      <c r="N32" s="2">
        <v>183.83229999999998</v>
      </c>
      <c r="O32" s="2">
        <v>519.15719999999999</v>
      </c>
      <c r="P32" s="2">
        <v>202.8258600099017</v>
      </c>
      <c r="Q32" s="2">
        <v>1928.0758999999998</v>
      </c>
      <c r="R32" s="2">
        <v>251.24155758249802</v>
      </c>
      <c r="S32" s="2">
        <v>0</v>
      </c>
      <c r="T32" s="2">
        <v>251.10853459916211</v>
      </c>
      <c r="U32" s="2">
        <v>3</v>
      </c>
      <c r="V32" s="2">
        <v>386.86559999999997</v>
      </c>
      <c r="W32" s="89">
        <f t="shared" si="0"/>
        <v>93654.617707428421</v>
      </c>
      <c r="X32" s="3"/>
      <c r="Y32" s="39">
        <v>0</v>
      </c>
      <c r="Z32" s="40"/>
      <c r="AA32" s="43">
        <v>0</v>
      </c>
      <c r="AB32" s="3"/>
      <c r="AC32" s="89">
        <f t="shared" si="3"/>
        <v>93654.617707428421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6507586.4355000006</v>
      </c>
      <c r="C33" s="83">
        <f>SUM(C10:C32)</f>
        <v>835446.491242202</v>
      </c>
      <c r="D33" s="83">
        <f>SUM(D10:D32)</f>
        <v>7343032.9267422017</v>
      </c>
      <c r="E33" s="83">
        <f t="shared" ref="E33:W33" si="4">SUM(E10:E32)</f>
        <v>107.0158</v>
      </c>
      <c r="F33" s="83">
        <f>SUM(F10:F32)</f>
        <v>7343139.9425422009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37653.947099999998</v>
      </c>
      <c r="K33" s="83">
        <f t="shared" si="4"/>
        <v>4395.795900000001</v>
      </c>
      <c r="L33" s="83">
        <f t="shared" si="4"/>
        <v>6.0000000000000008E-8</v>
      </c>
      <c r="M33" s="83">
        <f t="shared" si="4"/>
        <v>35799.371600000006</v>
      </c>
      <c r="N33" s="83">
        <f t="shared" si="4"/>
        <v>15094.500899999997</v>
      </c>
      <c r="O33" s="83">
        <f t="shared" si="4"/>
        <v>30197.938299999998</v>
      </c>
      <c r="P33" s="83">
        <f t="shared" si="4"/>
        <v>5012.1051124900005</v>
      </c>
      <c r="Q33" s="83">
        <f t="shared" si="4"/>
        <v>71919.52889999999</v>
      </c>
      <c r="R33" s="83">
        <f>SUM(R10:R32)</f>
        <v>9305.9188017999986</v>
      </c>
      <c r="S33" s="83">
        <f t="shared" si="4"/>
        <v>0</v>
      </c>
      <c r="T33" s="83">
        <f t="shared" si="4"/>
        <v>6205.2362059999987</v>
      </c>
      <c r="U33" s="83">
        <f t="shared" si="4"/>
        <v>45.800000000000004</v>
      </c>
      <c r="V33" s="83">
        <f t="shared" si="4"/>
        <v>31765.603999999999</v>
      </c>
      <c r="W33" s="83">
        <f t="shared" si="4"/>
        <v>7590535.6893625502</v>
      </c>
      <c r="X33" s="48"/>
      <c r="Y33" s="95">
        <f>SUM(Y10:Y32)</f>
        <v>273010.14238971</v>
      </c>
      <c r="Z33" s="40"/>
      <c r="AA33" s="101">
        <f>SUM(AA10:AA32)</f>
        <v>0</v>
      </c>
      <c r="AB33" s="6"/>
      <c r="AC33" s="93">
        <f>SUM(AC10:AC32)</f>
        <v>7863545.8317522611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131577.16800000001</v>
      </c>
      <c r="C34" s="2">
        <v>47276.524114902481</v>
      </c>
      <c r="D34" s="89">
        <f>B34+C34</f>
        <v>178853.69211490249</v>
      </c>
      <c r="E34" s="2">
        <v>0</v>
      </c>
      <c r="F34" s="89">
        <f>D34+E34</f>
        <v>178853.69211490249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945.84860000000003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179799.54071490248</v>
      </c>
      <c r="X34" s="3"/>
      <c r="Y34" s="39"/>
      <c r="Z34" s="40"/>
      <c r="AA34" s="97">
        <v>0</v>
      </c>
      <c r="AB34" s="3"/>
      <c r="AC34" s="89">
        <f>+W34+Y34+AA34</f>
        <v>179799.54071490248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5140766.1213999996</v>
      </c>
      <c r="C36" s="2">
        <v>0</v>
      </c>
      <c r="D36" s="89">
        <f>B36+C36</f>
        <v>5140766.1213999996</v>
      </c>
      <c r="E36" s="2">
        <v>0</v>
      </c>
      <c r="F36" s="89">
        <f>D36+E36</f>
        <v>5140766.1213999996</v>
      </c>
      <c r="G36" s="2">
        <v>0</v>
      </c>
      <c r="H36" s="2">
        <v>0</v>
      </c>
      <c r="I36" s="2">
        <v>0</v>
      </c>
      <c r="J36" s="2">
        <v>27278.0291</v>
      </c>
      <c r="K36" s="2">
        <v>0</v>
      </c>
      <c r="L36" s="2">
        <v>0</v>
      </c>
      <c r="M36" s="2">
        <v>0</v>
      </c>
      <c r="N36" s="2">
        <v>0</v>
      </c>
      <c r="O36" s="2">
        <v>50210.9398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5218255.0902999993</v>
      </c>
      <c r="X36" s="3"/>
      <c r="Y36" s="39">
        <f>-SUM(Y33)</f>
        <v>-273010.14238971</v>
      </c>
      <c r="Z36" s="40"/>
      <c r="AA36" s="41">
        <f>-(AA33+AA34)</f>
        <v>0</v>
      </c>
      <c r="AB36" s="3"/>
      <c r="AC36" s="89">
        <f>+W36+Y36+AA36</f>
        <v>4945244.9479102893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533468.92130000005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73966.435900000011</v>
      </c>
      <c r="W37" s="89">
        <f>SUM(F37:V37)</f>
        <v>607435.35720000009</v>
      </c>
      <c r="X37" s="3"/>
      <c r="Y37" s="39"/>
      <c r="Z37" s="40"/>
      <c r="AA37" s="41"/>
      <c r="AB37" s="3"/>
      <c r="AC37" s="89">
        <f t="shared" si="3"/>
        <v>607435.35720000009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127752.6372</v>
      </c>
      <c r="C38" s="37">
        <v>0</v>
      </c>
      <c r="D38" s="89">
        <f>B38+C38</f>
        <v>127752.6372</v>
      </c>
      <c r="E38" s="37">
        <v>0</v>
      </c>
      <c r="F38" s="89">
        <f>D38+E38</f>
        <v>127752.6372</v>
      </c>
      <c r="G38" s="37">
        <v>0</v>
      </c>
      <c r="H38" s="37">
        <v>0</v>
      </c>
      <c r="I38" s="37">
        <v>0</v>
      </c>
      <c r="J38" s="37">
        <v>655.09199999999998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128407.7292</v>
      </c>
      <c r="X38" s="3"/>
      <c r="Y38" s="42"/>
      <c r="Z38" s="40"/>
      <c r="AA38" s="43"/>
      <c r="AB38" s="3"/>
      <c r="AC38" s="90">
        <f t="shared" si="3"/>
        <v>128407.7292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11907728.1621</v>
      </c>
      <c r="C39" s="85">
        <f>+SUM(C33:C38)</f>
        <v>882723.01535710448</v>
      </c>
      <c r="D39" s="85">
        <f>+SUM(D33:D38)</f>
        <v>12790451.177457104</v>
      </c>
      <c r="E39" s="85">
        <f t="shared" ref="E39:V39" si="5">+SUM(E33:E38)</f>
        <v>107.0158</v>
      </c>
      <c r="F39" s="85">
        <f>SUM(F33:F38)</f>
        <v>12790558.193257103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65587.068199999994</v>
      </c>
      <c r="K39" s="85">
        <f t="shared" si="5"/>
        <v>4395.795900000001</v>
      </c>
      <c r="L39" s="85">
        <f t="shared" si="5"/>
        <v>6.0000000000000008E-8</v>
      </c>
      <c r="M39" s="85">
        <f t="shared" si="5"/>
        <v>569268.2929</v>
      </c>
      <c r="N39" s="85">
        <f t="shared" si="5"/>
        <v>15094.500899999997</v>
      </c>
      <c r="O39" s="85">
        <f t="shared" si="5"/>
        <v>80408.878100000002</v>
      </c>
      <c r="P39" s="85">
        <f t="shared" si="5"/>
        <v>5012.1051124900005</v>
      </c>
      <c r="Q39" s="85">
        <f t="shared" si="5"/>
        <v>72865.377499999988</v>
      </c>
      <c r="R39" s="85">
        <f t="shared" si="5"/>
        <v>9305.9188017999986</v>
      </c>
      <c r="S39" s="85">
        <f t="shared" si="5"/>
        <v>0</v>
      </c>
      <c r="T39" s="85">
        <f t="shared" si="5"/>
        <v>6205.2362059999987</v>
      </c>
      <c r="U39" s="85">
        <f t="shared" si="5"/>
        <v>45.800000000000004</v>
      </c>
      <c r="V39" s="85">
        <f t="shared" si="5"/>
        <v>105732.0399</v>
      </c>
      <c r="W39" s="85">
        <f>+SUM(W33:W38)</f>
        <v>13724433.406777453</v>
      </c>
      <c r="X39" s="47"/>
      <c r="Y39" s="46">
        <f>+SUM(Y33:Y38)</f>
        <v>0</v>
      </c>
      <c r="Z39" s="49"/>
      <c r="AA39" s="102"/>
      <c r="AB39" s="7"/>
      <c r="AC39" s="94">
        <f>+SUM(AC33:AC38)</f>
        <v>13724433.406777455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7863492.6289999997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4604891.0601000004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272836.967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59.732999999999997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11841.349099999999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22187.782999999999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15248.672057102203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12790558.193257101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12790512.3932571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F33 F39 W33 AC33" formula="1"/>
    <ignoredError sqref="W9 Y9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1A76-B194-49F4-8A6E-CCCBB72F9A1B}">
  <sheetPr>
    <pageSetUpPr fitToPage="1"/>
  </sheetPr>
  <dimension ref="A1:AZ77"/>
  <sheetViews>
    <sheetView showGridLines="0" showZeros="0" topLeftCell="K1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814895.54629999993</v>
      </c>
      <c r="C10" s="2">
        <v>322094.03531932982</v>
      </c>
      <c r="D10" s="89">
        <f>B10+C10</f>
        <v>1136989.5816193298</v>
      </c>
      <c r="E10" s="2">
        <v>35.008399999999995</v>
      </c>
      <c r="F10" s="89">
        <f>D10+E10</f>
        <v>1137024.5900193297</v>
      </c>
      <c r="G10" s="2">
        <v>0</v>
      </c>
      <c r="H10" s="2">
        <v>0</v>
      </c>
      <c r="I10" s="2">
        <v>0</v>
      </c>
      <c r="J10" s="2">
        <v>196334.99849999999</v>
      </c>
      <c r="K10" s="2">
        <v>46741.624899999995</v>
      </c>
      <c r="L10" s="2">
        <v>0</v>
      </c>
      <c r="M10" s="2">
        <v>19478.8802</v>
      </c>
      <c r="N10" s="2">
        <v>4060.4366</v>
      </c>
      <c r="O10" s="2">
        <v>8745.9670000000006</v>
      </c>
      <c r="P10" s="2">
        <v>363.62391494979818</v>
      </c>
      <c r="Q10" s="2">
        <v>13087.589199999999</v>
      </c>
      <c r="R10" s="2">
        <v>717.57742879304215</v>
      </c>
      <c r="S10" s="2">
        <v>0</v>
      </c>
      <c r="T10" s="2">
        <v>522.10750694063665</v>
      </c>
      <c r="U10" s="2">
        <v>0</v>
      </c>
      <c r="V10" s="2">
        <v>7019.8638000000001</v>
      </c>
      <c r="W10" s="89">
        <f t="shared" ref="W10:W32" si="0">SUM(F10:V10)</f>
        <v>1434097.259070013</v>
      </c>
      <c r="X10" s="3"/>
      <c r="Y10" s="39">
        <v>162328.28385899999</v>
      </c>
      <c r="Z10" s="40"/>
      <c r="AA10" s="97">
        <v>0</v>
      </c>
      <c r="AB10" s="3"/>
      <c r="AC10" s="89">
        <f>+W10+Y10+AA10</f>
        <v>1596425.542929013</v>
      </c>
      <c r="AD10" s="115"/>
      <c r="AE10" s="116"/>
      <c r="AF10" s="107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127593.9803</v>
      </c>
      <c r="C11" s="2">
        <v>15012.857578443331</v>
      </c>
      <c r="D11" s="89">
        <f t="shared" ref="D11:D32" si="1">B11+C11</f>
        <v>142606.83787844333</v>
      </c>
      <c r="E11" s="2">
        <v>1.7832999999999999</v>
      </c>
      <c r="F11" s="89">
        <f t="shared" ref="F11:F32" si="2">D11+E11</f>
        <v>142608.62117844334</v>
      </c>
      <c r="G11" s="2">
        <v>0</v>
      </c>
      <c r="H11" s="2">
        <v>0</v>
      </c>
      <c r="I11" s="2">
        <v>0</v>
      </c>
      <c r="J11" s="2">
        <v>24625.3033</v>
      </c>
      <c r="K11" s="2">
        <v>0</v>
      </c>
      <c r="L11" s="2">
        <v>0</v>
      </c>
      <c r="M11" s="2">
        <v>0</v>
      </c>
      <c r="N11" s="2">
        <v>509.2878</v>
      </c>
      <c r="O11" s="2">
        <v>897.84249999999997</v>
      </c>
      <c r="P11" s="2">
        <v>548.03412246514938</v>
      </c>
      <c r="Q11" s="2">
        <v>1895.4439</v>
      </c>
      <c r="R11" s="2">
        <v>1026.4583258643725</v>
      </c>
      <c r="S11" s="2">
        <v>0</v>
      </c>
      <c r="T11" s="2">
        <v>786.89194423855338</v>
      </c>
      <c r="U11" s="2">
        <v>2.2000000000000002</v>
      </c>
      <c r="V11" s="2">
        <v>880.47940000000006</v>
      </c>
      <c r="W11" s="89">
        <f t="shared" si="0"/>
        <v>173780.56247101145</v>
      </c>
      <c r="X11" s="3"/>
      <c r="Y11" s="39">
        <v>4574.7600670000002</v>
      </c>
      <c r="Z11" s="40"/>
      <c r="AA11" s="41">
        <v>0</v>
      </c>
      <c r="AB11" s="3"/>
      <c r="AC11" s="89">
        <f t="shared" ref="AC11:AC38" si="3">+W11+Y11+AA11</f>
        <v>178355.32253801145</v>
      </c>
      <c r="AD11" s="115"/>
      <c r="AE11" s="116"/>
      <c r="AF11" s="107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390712.38289999997</v>
      </c>
      <c r="C12" s="2">
        <v>69020.150425570304</v>
      </c>
      <c r="D12" s="89">
        <f t="shared" si="1"/>
        <v>459732.53332557029</v>
      </c>
      <c r="E12" s="2">
        <v>10.441700000000001</v>
      </c>
      <c r="F12" s="89">
        <f>D12+E12</f>
        <v>459742.97502557031</v>
      </c>
      <c r="G12" s="2">
        <v>0</v>
      </c>
      <c r="H12" s="2">
        <v>0</v>
      </c>
      <c r="I12" s="2">
        <v>0</v>
      </c>
      <c r="J12" s="2">
        <v>79386.467300000004</v>
      </c>
      <c r="K12" s="2">
        <v>15962.4655</v>
      </c>
      <c r="L12" s="2">
        <v>0</v>
      </c>
      <c r="M12" s="2">
        <v>6652.1212000000005</v>
      </c>
      <c r="N12" s="2">
        <v>1641.8148999999999</v>
      </c>
      <c r="O12" s="2">
        <v>3930.2428999999997</v>
      </c>
      <c r="P12" s="2">
        <v>363.62391494979818</v>
      </c>
      <c r="Q12" s="2">
        <v>5099.6467999999995</v>
      </c>
      <c r="R12" s="2">
        <v>675.82887870006527</v>
      </c>
      <c r="S12" s="2">
        <v>0</v>
      </c>
      <c r="T12" s="2">
        <v>522.10750694063665</v>
      </c>
      <c r="U12" s="2">
        <v>0.5</v>
      </c>
      <c r="V12" s="2">
        <v>2838.4427999999998</v>
      </c>
      <c r="W12" s="89">
        <f t="shared" si="0"/>
        <v>576816.23672616074</v>
      </c>
      <c r="X12" s="3"/>
      <c r="Y12" s="39">
        <v>20139.714929999998</v>
      </c>
      <c r="Z12" s="40"/>
      <c r="AA12" s="41">
        <v>0</v>
      </c>
      <c r="AB12" s="3"/>
      <c r="AC12" s="89">
        <f t="shared" si="3"/>
        <v>596955.95165616076</v>
      </c>
      <c r="AD12" s="115"/>
      <c r="AE12" s="116"/>
      <c r="AF12" s="107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161078.84819999998</v>
      </c>
      <c r="C13" s="2">
        <v>31390.520391290178</v>
      </c>
      <c r="D13" s="89">
        <f t="shared" si="1"/>
        <v>192469.36859129014</v>
      </c>
      <c r="E13" s="2">
        <v>3.2166999999999999</v>
      </c>
      <c r="F13" s="89">
        <f t="shared" si="2"/>
        <v>192472.58529129013</v>
      </c>
      <c r="G13" s="2">
        <v>0</v>
      </c>
      <c r="H13" s="2">
        <v>0</v>
      </c>
      <c r="I13" s="2">
        <v>0</v>
      </c>
      <c r="J13" s="2">
        <v>33235.549200000001</v>
      </c>
      <c r="K13" s="2">
        <v>5104.0569000000005</v>
      </c>
      <c r="L13" s="2">
        <v>0</v>
      </c>
      <c r="M13" s="2">
        <v>2127.0401000000002</v>
      </c>
      <c r="N13" s="2">
        <v>687.35350000000005</v>
      </c>
      <c r="O13" s="2">
        <v>1157.6937</v>
      </c>
      <c r="P13" s="2">
        <v>460.34593615187754</v>
      </c>
      <c r="Q13" s="2">
        <v>4467.8321999999998</v>
      </c>
      <c r="R13" s="2">
        <v>971.01827518269101</v>
      </c>
      <c r="S13" s="2">
        <v>0</v>
      </c>
      <c r="T13" s="2">
        <v>660.98531801073386</v>
      </c>
      <c r="U13" s="2">
        <v>1.5</v>
      </c>
      <c r="V13" s="2">
        <v>1188.3273999999999</v>
      </c>
      <c r="W13" s="89">
        <f t="shared" si="0"/>
        <v>242534.28782063548</v>
      </c>
      <c r="X13" s="3"/>
      <c r="Y13" s="39">
        <v>8712.5218949999999</v>
      </c>
      <c r="Z13" s="40"/>
      <c r="AA13" s="41">
        <v>0</v>
      </c>
      <c r="AB13" s="3"/>
      <c r="AC13" s="89">
        <f t="shared" si="3"/>
        <v>251246.80971563549</v>
      </c>
      <c r="AD13" s="115"/>
      <c r="AE13" s="116"/>
      <c r="AF13" s="107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222218.05659999998</v>
      </c>
      <c r="C14" s="2">
        <v>36069.852623532344</v>
      </c>
      <c r="D14" s="89">
        <f t="shared" si="1"/>
        <v>258287.90922353233</v>
      </c>
      <c r="E14" s="2">
        <v>2.8</v>
      </c>
      <c r="F14" s="89">
        <f t="shared" si="2"/>
        <v>258290.70922353232</v>
      </c>
      <c r="G14" s="2">
        <v>0</v>
      </c>
      <c r="H14" s="2">
        <v>0</v>
      </c>
      <c r="I14" s="2">
        <v>0</v>
      </c>
      <c r="J14" s="2">
        <v>44601.073799999998</v>
      </c>
      <c r="K14" s="2">
        <v>4012.6554999999998</v>
      </c>
      <c r="L14" s="2">
        <v>0</v>
      </c>
      <c r="M14" s="2">
        <v>1672.2148</v>
      </c>
      <c r="N14" s="2">
        <v>922.41369999999995</v>
      </c>
      <c r="O14" s="2">
        <v>1171.8526000000002</v>
      </c>
      <c r="P14" s="2">
        <v>488.92721109130093</v>
      </c>
      <c r="Q14" s="2">
        <v>4151.9247999999998</v>
      </c>
      <c r="R14" s="2">
        <v>988.90405551195124</v>
      </c>
      <c r="S14" s="2">
        <v>0</v>
      </c>
      <c r="T14" s="2">
        <v>702.02359297022008</v>
      </c>
      <c r="U14" s="2">
        <v>0.5</v>
      </c>
      <c r="V14" s="2">
        <v>1594.7098999999998</v>
      </c>
      <c r="W14" s="89">
        <f t="shared" si="0"/>
        <v>318597.90918310574</v>
      </c>
      <c r="X14" s="3"/>
      <c r="Y14" s="39">
        <v>10497.954117000001</v>
      </c>
      <c r="Z14" s="40"/>
      <c r="AA14" s="41">
        <v>0</v>
      </c>
      <c r="AB14" s="3"/>
      <c r="AC14" s="89">
        <f t="shared" si="3"/>
        <v>329095.86330010573</v>
      </c>
      <c r="AD14" s="115"/>
      <c r="AE14" s="116"/>
      <c r="AF14" s="107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67259.645300000004</v>
      </c>
      <c r="C15" s="2">
        <v>14622.913225756447</v>
      </c>
      <c r="D15" s="89">
        <f t="shared" si="1"/>
        <v>81882.558525756453</v>
      </c>
      <c r="E15" s="2">
        <v>2.0167000000000002</v>
      </c>
      <c r="F15" s="89">
        <f t="shared" si="2"/>
        <v>81884.575225756445</v>
      </c>
      <c r="G15" s="2">
        <v>0</v>
      </c>
      <c r="H15" s="2">
        <v>0</v>
      </c>
      <c r="I15" s="2">
        <v>0</v>
      </c>
      <c r="J15" s="2">
        <v>14139.454099999999</v>
      </c>
      <c r="K15" s="2">
        <v>1569.6756</v>
      </c>
      <c r="L15" s="2">
        <v>0</v>
      </c>
      <c r="M15" s="2">
        <v>654.13909999999998</v>
      </c>
      <c r="N15" s="2">
        <v>292.42840000000001</v>
      </c>
      <c r="O15" s="2">
        <v>1022.2008000000001</v>
      </c>
      <c r="P15" s="2">
        <v>512.6318512226203</v>
      </c>
      <c r="Q15" s="2">
        <v>2888.2955000000002</v>
      </c>
      <c r="R15" s="2">
        <v>1425.8330127747679</v>
      </c>
      <c r="S15" s="2">
        <v>0</v>
      </c>
      <c r="T15" s="2">
        <v>736.05977721343584</v>
      </c>
      <c r="U15" s="2">
        <v>3</v>
      </c>
      <c r="V15" s="2">
        <v>505.56329999999997</v>
      </c>
      <c r="W15" s="89">
        <f t="shared" si="0"/>
        <v>105633.85666696726</v>
      </c>
      <c r="X15" s="3"/>
      <c r="Y15" s="39">
        <v>1815.740871</v>
      </c>
      <c r="Z15" s="40"/>
      <c r="AA15" s="41">
        <v>0</v>
      </c>
      <c r="AB15" s="3"/>
      <c r="AC15" s="89">
        <f t="shared" si="3"/>
        <v>107449.59753796726</v>
      </c>
      <c r="AD15" s="115"/>
      <c r="AE15" s="116"/>
      <c r="AF15" s="107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222289.88519999999</v>
      </c>
      <c r="C16" s="2">
        <v>30513.145597744995</v>
      </c>
      <c r="D16" s="89">
        <f t="shared" si="1"/>
        <v>252803.03079774498</v>
      </c>
      <c r="E16" s="2">
        <v>5.6249000000000002</v>
      </c>
      <c r="F16" s="89">
        <f t="shared" si="2"/>
        <v>252808.65569774498</v>
      </c>
      <c r="G16" s="2">
        <v>0</v>
      </c>
      <c r="H16" s="2">
        <v>0</v>
      </c>
      <c r="I16" s="2">
        <v>0</v>
      </c>
      <c r="J16" s="2">
        <v>43653.946799999998</v>
      </c>
      <c r="K16" s="2">
        <v>6927.3585999999996</v>
      </c>
      <c r="L16" s="2">
        <v>0</v>
      </c>
      <c r="M16" s="2">
        <v>2886.8741</v>
      </c>
      <c r="N16" s="2">
        <v>902.81130000000007</v>
      </c>
      <c r="O16" s="2">
        <v>1475.4331999999999</v>
      </c>
      <c r="P16" s="2">
        <v>420.76968501044507</v>
      </c>
      <c r="Q16" s="2">
        <v>3520.1102000000001</v>
      </c>
      <c r="R16" s="2">
        <v>944.36125723150985</v>
      </c>
      <c r="S16" s="2">
        <v>0</v>
      </c>
      <c r="T16" s="2">
        <v>604.15996365109868</v>
      </c>
      <c r="U16" s="2">
        <v>1.8</v>
      </c>
      <c r="V16" s="2">
        <v>1560.8205</v>
      </c>
      <c r="W16" s="89">
        <f t="shared" si="0"/>
        <v>315707.10130363796</v>
      </c>
      <c r="X16" s="3"/>
      <c r="Y16" s="39">
        <v>4102.0788689999999</v>
      </c>
      <c r="Z16" s="40"/>
      <c r="AA16" s="41">
        <v>0</v>
      </c>
      <c r="AB16" s="3"/>
      <c r="AC16" s="89">
        <f t="shared" si="3"/>
        <v>319809.18017263798</v>
      </c>
      <c r="AD16" s="115"/>
      <c r="AE16" s="116"/>
      <c r="AF16" s="107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167910.80160000001</v>
      </c>
      <c r="C17" s="2">
        <v>20569.564604230683</v>
      </c>
      <c r="D17" s="89">
        <f t="shared" si="1"/>
        <v>188480.3662042307</v>
      </c>
      <c r="E17" s="2">
        <v>1.7251000000000001</v>
      </c>
      <c r="F17" s="89">
        <f t="shared" si="2"/>
        <v>188482.09130423071</v>
      </c>
      <c r="G17" s="2">
        <v>0</v>
      </c>
      <c r="H17" s="2">
        <v>0</v>
      </c>
      <c r="I17" s="2">
        <v>0</v>
      </c>
      <c r="J17" s="2">
        <v>32546.729500000001</v>
      </c>
      <c r="K17" s="2">
        <v>1869.1732</v>
      </c>
      <c r="L17" s="2">
        <v>0</v>
      </c>
      <c r="M17" s="2">
        <v>778.95030000000008</v>
      </c>
      <c r="N17" s="2">
        <v>673.11419999999998</v>
      </c>
      <c r="O17" s="2">
        <v>789.55560000000003</v>
      </c>
      <c r="P17" s="2">
        <v>564.9806906166632</v>
      </c>
      <c r="Q17" s="2">
        <v>3610.3694</v>
      </c>
      <c r="R17" s="2">
        <v>1031.7652460180675</v>
      </c>
      <c r="S17" s="2">
        <v>0</v>
      </c>
      <c r="T17" s="2">
        <v>811.22458597097227</v>
      </c>
      <c r="U17" s="2">
        <v>2.2000000000000002</v>
      </c>
      <c r="V17" s="2">
        <v>1163.7098999999998</v>
      </c>
      <c r="W17" s="89">
        <f t="shared" si="0"/>
        <v>232323.86392683641</v>
      </c>
      <c r="X17" s="3"/>
      <c r="Y17" s="39">
        <v>4834.7698140000002</v>
      </c>
      <c r="Z17" s="40"/>
      <c r="AA17" s="41">
        <v>0</v>
      </c>
      <c r="AB17" s="3"/>
      <c r="AC17" s="89">
        <f t="shared" si="3"/>
        <v>237158.63374083641</v>
      </c>
      <c r="AD17" s="115"/>
      <c r="AE17" s="116"/>
      <c r="AF17" s="107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127304.7898</v>
      </c>
      <c r="C18" s="2">
        <v>19789.675898857087</v>
      </c>
      <c r="D18" s="89">
        <f t="shared" si="1"/>
        <v>147094.46569885709</v>
      </c>
      <c r="E18" s="2">
        <v>2.7749999999999999</v>
      </c>
      <c r="F18" s="89">
        <f t="shared" si="2"/>
        <v>147097.24069885709</v>
      </c>
      <c r="G18" s="2">
        <v>0</v>
      </c>
      <c r="H18" s="2">
        <v>0</v>
      </c>
      <c r="I18" s="2">
        <v>0</v>
      </c>
      <c r="J18" s="2">
        <v>25400.225399999999</v>
      </c>
      <c r="K18" s="2">
        <v>0</v>
      </c>
      <c r="L18" s="2">
        <v>0</v>
      </c>
      <c r="M18" s="2">
        <v>0</v>
      </c>
      <c r="N18" s="2">
        <v>525.30230000000006</v>
      </c>
      <c r="O18" s="2">
        <v>877.63919999999996</v>
      </c>
      <c r="P18" s="2">
        <v>455.91921022267383</v>
      </c>
      <c r="Q18" s="2">
        <v>2707.7771000000002</v>
      </c>
      <c r="R18" s="2">
        <v>1166.5774723735869</v>
      </c>
      <c r="S18" s="2">
        <v>0</v>
      </c>
      <c r="T18" s="2">
        <v>654.62922661207813</v>
      </c>
      <c r="U18" s="2">
        <v>2.2000000000000002</v>
      </c>
      <c r="V18" s="2">
        <v>908.16600000000005</v>
      </c>
      <c r="W18" s="89">
        <f t="shared" si="0"/>
        <v>179795.67660806543</v>
      </c>
      <c r="X18" s="3"/>
      <c r="Y18" s="39">
        <v>4873.3176240000003</v>
      </c>
      <c r="Z18" s="40"/>
      <c r="AA18" s="41">
        <v>0</v>
      </c>
      <c r="AB18" s="3"/>
      <c r="AC18" s="89">
        <f t="shared" si="3"/>
        <v>184668.99423206542</v>
      </c>
      <c r="AD18" s="115"/>
      <c r="AE18" s="116"/>
      <c r="AF18" s="107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88801.559299999994</v>
      </c>
      <c r="C19" s="2">
        <v>10333.525346201272</v>
      </c>
      <c r="D19" s="89">
        <f t="shared" si="1"/>
        <v>99135.084646201271</v>
      </c>
      <c r="E19" s="2">
        <v>1.6</v>
      </c>
      <c r="F19" s="89">
        <f t="shared" si="2"/>
        <v>99136.684646201276</v>
      </c>
      <c r="G19" s="2">
        <v>0</v>
      </c>
      <c r="H19" s="2">
        <v>0</v>
      </c>
      <c r="I19" s="2">
        <v>0</v>
      </c>
      <c r="J19" s="2">
        <v>17115.1708</v>
      </c>
      <c r="K19" s="2">
        <v>1378.3831</v>
      </c>
      <c r="L19" s="2">
        <v>1E-8</v>
      </c>
      <c r="M19" s="2">
        <v>574.48540000000003</v>
      </c>
      <c r="N19" s="2">
        <v>353.85909999999996</v>
      </c>
      <c r="O19" s="2">
        <v>1107.4222</v>
      </c>
      <c r="P19" s="2">
        <v>404.72922707103186</v>
      </c>
      <c r="Q19" s="2">
        <v>1839.6136000000001</v>
      </c>
      <c r="R19" s="2">
        <v>1295.0544900270695</v>
      </c>
      <c r="S19" s="2">
        <v>0</v>
      </c>
      <c r="T19" s="2">
        <v>581.12835556384084</v>
      </c>
      <c r="U19" s="2">
        <v>2.5</v>
      </c>
      <c r="V19" s="2">
        <v>611.93509999999992</v>
      </c>
      <c r="W19" s="89">
        <f t="shared" si="0"/>
        <v>124400.96601887324</v>
      </c>
      <c r="X19" s="3"/>
      <c r="Y19" s="39">
        <v>0</v>
      </c>
      <c r="Z19" s="40"/>
      <c r="AA19" s="41">
        <v>0</v>
      </c>
      <c r="AB19" s="3"/>
      <c r="AC19" s="89">
        <f t="shared" si="3"/>
        <v>124400.96601887324</v>
      </c>
      <c r="AD19" s="115"/>
      <c r="AE19" s="116"/>
      <c r="AF19" s="107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95506.110499999995</v>
      </c>
      <c r="C20" s="2">
        <v>11698.330580605063</v>
      </c>
      <c r="D20" s="89">
        <f t="shared" si="1"/>
        <v>107204.44108060506</v>
      </c>
      <c r="E20" s="2">
        <v>1.6916</v>
      </c>
      <c r="F20" s="89">
        <f t="shared" si="2"/>
        <v>107206.13268060506</v>
      </c>
      <c r="G20" s="2">
        <v>0</v>
      </c>
      <c r="H20" s="2">
        <v>0</v>
      </c>
      <c r="I20" s="2">
        <v>0</v>
      </c>
      <c r="J20" s="2">
        <v>18512.028699999999</v>
      </c>
      <c r="K20" s="2">
        <v>0</v>
      </c>
      <c r="L20" s="2">
        <v>0</v>
      </c>
      <c r="M20" s="2">
        <v>0</v>
      </c>
      <c r="N20" s="2">
        <v>382.85340000000002</v>
      </c>
      <c r="O20" s="2">
        <v>684.54790000000003</v>
      </c>
      <c r="P20" s="2">
        <v>533.23956607113735</v>
      </c>
      <c r="Q20" s="2">
        <v>1805.1847</v>
      </c>
      <c r="R20" s="2">
        <v>1099.6787065147348</v>
      </c>
      <c r="S20" s="2">
        <v>0</v>
      </c>
      <c r="T20" s="2">
        <v>765.64925736773728</v>
      </c>
      <c r="U20" s="2">
        <v>2.2000000000000002</v>
      </c>
      <c r="V20" s="2">
        <v>661.89409999999998</v>
      </c>
      <c r="W20" s="89">
        <f t="shared" si="0"/>
        <v>131653.40901055868</v>
      </c>
      <c r="X20" s="3"/>
      <c r="Y20" s="39">
        <v>1183.046781</v>
      </c>
      <c r="Z20" s="40"/>
      <c r="AA20" s="41">
        <v>0</v>
      </c>
      <c r="AB20" s="3"/>
      <c r="AC20" s="89">
        <f t="shared" si="3"/>
        <v>132836.45579155869</v>
      </c>
      <c r="AD20" s="115"/>
      <c r="AE20" s="116"/>
      <c r="AF20" s="107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171256.12969999999</v>
      </c>
      <c r="C21" s="2">
        <v>44648.628382643183</v>
      </c>
      <c r="D21" s="89">
        <f t="shared" si="1"/>
        <v>215904.75808264318</v>
      </c>
      <c r="E21" s="2">
        <v>5.1416000000000004</v>
      </c>
      <c r="F21" s="89">
        <f t="shared" si="2"/>
        <v>215909.89968264318</v>
      </c>
      <c r="G21" s="2">
        <v>0</v>
      </c>
      <c r="H21" s="2">
        <v>0</v>
      </c>
      <c r="I21" s="2">
        <v>0</v>
      </c>
      <c r="J21" s="2">
        <v>37282.364799999996</v>
      </c>
      <c r="K21" s="2">
        <v>0</v>
      </c>
      <c r="L21" s="2">
        <v>0</v>
      </c>
      <c r="M21" s="2">
        <v>0</v>
      </c>
      <c r="N21" s="2">
        <v>771.05130000000008</v>
      </c>
      <c r="O21" s="2">
        <v>1603.0796</v>
      </c>
      <c r="P21" s="2">
        <v>413.89730050543938</v>
      </c>
      <c r="Q21" s="2">
        <v>3610.3694</v>
      </c>
      <c r="R21" s="2">
        <v>765.35932472719924</v>
      </c>
      <c r="S21" s="2">
        <v>0</v>
      </c>
      <c r="T21" s="2">
        <v>594.29228612494808</v>
      </c>
      <c r="U21" s="2">
        <v>2.2000000000000002</v>
      </c>
      <c r="V21" s="2">
        <v>1333.0278999999998</v>
      </c>
      <c r="W21" s="89">
        <f t="shared" si="0"/>
        <v>262285.54159400077</v>
      </c>
      <c r="X21" s="3"/>
      <c r="Y21" s="39">
        <v>7141.6518809999998</v>
      </c>
      <c r="Z21" s="40"/>
      <c r="AA21" s="41">
        <v>0</v>
      </c>
      <c r="AB21" s="3"/>
      <c r="AC21" s="89">
        <f t="shared" si="3"/>
        <v>269427.19347500079</v>
      </c>
      <c r="AD21" s="115"/>
      <c r="AE21" s="116"/>
      <c r="AF21" s="107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132716.44779999999</v>
      </c>
      <c r="C22" s="2">
        <v>38312.032651481597</v>
      </c>
      <c r="D22" s="89">
        <f t="shared" si="1"/>
        <v>171028.48045148159</v>
      </c>
      <c r="E22" s="2">
        <v>2.8416999999999999</v>
      </c>
      <c r="F22" s="89">
        <f t="shared" si="2"/>
        <v>171031.32215148158</v>
      </c>
      <c r="G22" s="2">
        <v>0</v>
      </c>
      <c r="H22" s="2">
        <v>0</v>
      </c>
      <c r="I22" s="2">
        <v>0</v>
      </c>
      <c r="J22" s="2">
        <v>29533.143499999998</v>
      </c>
      <c r="K22" s="2">
        <v>2191.4022999999997</v>
      </c>
      <c r="L22" s="2">
        <v>0</v>
      </c>
      <c r="M22" s="2">
        <v>913.23450000000003</v>
      </c>
      <c r="N22" s="2">
        <v>610.77530000000002</v>
      </c>
      <c r="O22" s="2">
        <v>1071.6173999999999</v>
      </c>
      <c r="P22" s="2">
        <v>535.37165177823908</v>
      </c>
      <c r="Q22" s="2">
        <v>4242.1840999999995</v>
      </c>
      <c r="R22" s="2">
        <v>853.66330622783471</v>
      </c>
      <c r="S22" s="2">
        <v>0</v>
      </c>
      <c r="T22" s="2">
        <v>768.71060155642499</v>
      </c>
      <c r="U22" s="2">
        <v>2.2000000000000002</v>
      </c>
      <c r="V22" s="2">
        <v>1055.9356</v>
      </c>
      <c r="W22" s="89">
        <f t="shared" si="0"/>
        <v>212809.56041104408</v>
      </c>
      <c r="X22" s="3"/>
      <c r="Y22" s="39">
        <v>10070.438112</v>
      </c>
      <c r="Z22" s="40"/>
      <c r="AA22" s="41">
        <v>0</v>
      </c>
      <c r="AB22" s="3"/>
      <c r="AC22" s="89">
        <f t="shared" si="3"/>
        <v>222879.99852304408</v>
      </c>
      <c r="AD22" s="115"/>
      <c r="AE22" s="116"/>
      <c r="AF22" s="107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73287.928400000004</v>
      </c>
      <c r="C23" s="2">
        <v>16572.634989190519</v>
      </c>
      <c r="D23" s="89">
        <f t="shared" si="1"/>
        <v>89860.563389190531</v>
      </c>
      <c r="E23" s="2">
        <v>1.4499</v>
      </c>
      <c r="F23" s="89">
        <f t="shared" si="2"/>
        <v>89862.013289190538</v>
      </c>
      <c r="G23" s="2">
        <v>0</v>
      </c>
      <c r="H23" s="2">
        <v>0</v>
      </c>
      <c r="I23" s="2">
        <v>0</v>
      </c>
      <c r="J23" s="2">
        <v>15517.0934</v>
      </c>
      <c r="K23" s="2">
        <v>985.53499999999997</v>
      </c>
      <c r="L23" s="2">
        <v>0</v>
      </c>
      <c r="M23" s="2">
        <v>410.70710000000003</v>
      </c>
      <c r="N23" s="2">
        <v>320.90699999999998</v>
      </c>
      <c r="O23" s="2">
        <v>1363.184</v>
      </c>
      <c r="P23" s="2">
        <v>475.42050577818992</v>
      </c>
      <c r="Q23" s="2">
        <v>3881.1471000000001</v>
      </c>
      <c r="R23" s="2">
        <v>1061.8545580274765</v>
      </c>
      <c r="S23" s="2">
        <v>0</v>
      </c>
      <c r="T23" s="2">
        <v>682.63006040314986</v>
      </c>
      <c r="U23" s="2">
        <v>2.5</v>
      </c>
      <c r="V23" s="2">
        <v>554.79830000000004</v>
      </c>
      <c r="W23" s="89">
        <f t="shared" si="0"/>
        <v>115117.79031339937</v>
      </c>
      <c r="X23" s="3"/>
      <c r="Y23" s="39">
        <v>2555.8778909999996</v>
      </c>
      <c r="Z23" s="40"/>
      <c r="AA23" s="41">
        <v>0</v>
      </c>
      <c r="AB23" s="3"/>
      <c r="AC23" s="89">
        <f t="shared" si="3"/>
        <v>117673.66820439936</v>
      </c>
      <c r="AD23" s="115"/>
      <c r="AE23" s="116"/>
      <c r="AF23" s="107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112799.87640000001</v>
      </c>
      <c r="C24" s="2">
        <v>17839.954135422773</v>
      </c>
      <c r="D24" s="89">
        <f t="shared" si="1"/>
        <v>130639.83053542278</v>
      </c>
      <c r="E24" s="2">
        <v>1.2167000000000001</v>
      </c>
      <c r="F24" s="89">
        <f t="shared" si="2"/>
        <v>130641.04723542278</v>
      </c>
      <c r="G24" s="2">
        <v>0</v>
      </c>
      <c r="H24" s="2">
        <v>0</v>
      </c>
      <c r="I24" s="2">
        <v>0</v>
      </c>
      <c r="J24" s="2">
        <v>22558.844300000001</v>
      </c>
      <c r="K24" s="2">
        <v>0</v>
      </c>
      <c r="L24" s="2">
        <v>0</v>
      </c>
      <c r="M24" s="2">
        <v>0</v>
      </c>
      <c r="N24" s="2">
        <v>466.55119999999999</v>
      </c>
      <c r="O24" s="2">
        <v>1033.0319999999999</v>
      </c>
      <c r="P24" s="2">
        <v>441.75075081856227</v>
      </c>
      <c r="Q24" s="2">
        <v>4061.6656000000003</v>
      </c>
      <c r="R24" s="2">
        <v>977.73295436680837</v>
      </c>
      <c r="S24" s="2">
        <v>0</v>
      </c>
      <c r="T24" s="2">
        <v>634.28551786463618</v>
      </c>
      <c r="U24" s="2">
        <v>2.5</v>
      </c>
      <c r="V24" s="2">
        <v>806.59460000000001</v>
      </c>
      <c r="W24" s="89">
        <f t="shared" si="0"/>
        <v>161624.00415847279</v>
      </c>
      <c r="X24" s="3"/>
      <c r="Y24" s="39">
        <v>2130.6202469999998</v>
      </c>
      <c r="Z24" s="40"/>
      <c r="AA24" s="41">
        <v>0</v>
      </c>
      <c r="AB24" s="3"/>
      <c r="AC24" s="89">
        <f t="shared" si="3"/>
        <v>163754.6244054728</v>
      </c>
      <c r="AD24" s="115"/>
      <c r="AE24" s="116"/>
      <c r="AF24" s="107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161408.1588</v>
      </c>
      <c r="C25" s="2">
        <v>37044.713505249667</v>
      </c>
      <c r="D25" s="89">
        <f t="shared" si="1"/>
        <v>198452.87230524968</v>
      </c>
      <c r="E25" s="2">
        <v>3.3167</v>
      </c>
      <c r="F25" s="89">
        <f t="shared" si="2"/>
        <v>198456.18900524967</v>
      </c>
      <c r="G25" s="2">
        <v>0</v>
      </c>
      <c r="H25" s="2">
        <v>0</v>
      </c>
      <c r="I25" s="2">
        <v>0</v>
      </c>
      <c r="J25" s="2">
        <v>34268.778700000003</v>
      </c>
      <c r="K25" s="2">
        <v>0</v>
      </c>
      <c r="L25" s="2">
        <v>0</v>
      </c>
      <c r="M25" s="2">
        <v>0</v>
      </c>
      <c r="N25" s="2">
        <v>708.73109999999997</v>
      </c>
      <c r="O25" s="2">
        <v>1231.1551999999999</v>
      </c>
      <c r="P25" s="2">
        <v>451.92980832367067</v>
      </c>
      <c r="Q25" s="2">
        <v>3610.3694</v>
      </c>
      <c r="R25" s="2">
        <v>1188.7320219927396</v>
      </c>
      <c r="S25" s="2">
        <v>0</v>
      </c>
      <c r="T25" s="2">
        <v>648.90106465210738</v>
      </c>
      <c r="U25" s="2">
        <v>2.5</v>
      </c>
      <c r="V25" s="2">
        <v>1225.2858999999999</v>
      </c>
      <c r="W25" s="89">
        <f t="shared" si="0"/>
        <v>241792.57220021819</v>
      </c>
      <c r="X25" s="3"/>
      <c r="Y25" s="39">
        <v>19424.719988000001</v>
      </c>
      <c r="Z25" s="40"/>
      <c r="AA25" s="41">
        <v>0</v>
      </c>
      <c r="AB25" s="3"/>
      <c r="AC25" s="89">
        <f t="shared" si="3"/>
        <v>261217.29218821818</v>
      </c>
      <c r="AD25" s="115"/>
      <c r="AE25" s="116"/>
      <c r="AF25" s="107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150743.44690000001</v>
      </c>
      <c r="C26" s="2">
        <v>24274.035954755585</v>
      </c>
      <c r="D26" s="89">
        <f t="shared" si="1"/>
        <v>175017.4828547556</v>
      </c>
      <c r="E26" s="2">
        <v>2.5083000000000002</v>
      </c>
      <c r="F26" s="89">
        <f t="shared" si="2"/>
        <v>175019.99115475558</v>
      </c>
      <c r="G26" s="2">
        <v>0</v>
      </c>
      <c r="H26" s="2">
        <v>0</v>
      </c>
      <c r="I26" s="2">
        <v>0</v>
      </c>
      <c r="J26" s="2">
        <v>30221.963100000001</v>
      </c>
      <c r="K26" s="2">
        <v>0</v>
      </c>
      <c r="L26" s="2">
        <v>0</v>
      </c>
      <c r="M26" s="2">
        <v>0</v>
      </c>
      <c r="N26" s="2">
        <v>625.03330000000005</v>
      </c>
      <c r="O26" s="2">
        <v>917.36080000000004</v>
      </c>
      <c r="P26" s="2">
        <v>418.67850011144333</v>
      </c>
      <c r="Q26" s="2">
        <v>3294.4621000000002</v>
      </c>
      <c r="R26" s="2">
        <v>761.65876620740426</v>
      </c>
      <c r="S26" s="2">
        <v>0</v>
      </c>
      <c r="T26" s="2">
        <v>601.15734669435255</v>
      </c>
      <c r="U26" s="2">
        <v>2.2000000000000002</v>
      </c>
      <c r="V26" s="2">
        <v>1080.5853999999999</v>
      </c>
      <c r="W26" s="89">
        <f t="shared" si="0"/>
        <v>212943.09046776881</v>
      </c>
      <c r="X26" s="3"/>
      <c r="Y26" s="39">
        <v>2620.1317170000002</v>
      </c>
      <c r="Z26" s="40"/>
      <c r="AA26" s="41">
        <v>0</v>
      </c>
      <c r="AB26" s="3"/>
      <c r="AC26" s="89">
        <f t="shared" si="3"/>
        <v>215563.22218476882</v>
      </c>
      <c r="AD26" s="115"/>
      <c r="AE26" s="116"/>
      <c r="AF26" s="107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104038.715</v>
      </c>
      <c r="C27" s="2">
        <v>14135.482784897866</v>
      </c>
      <c r="D27" s="89">
        <f t="shared" si="1"/>
        <v>118174.19778489786</v>
      </c>
      <c r="E27" s="2">
        <v>1.5751000000000002</v>
      </c>
      <c r="F27" s="89">
        <f t="shared" si="2"/>
        <v>118175.77288489786</v>
      </c>
      <c r="G27" s="2">
        <v>0</v>
      </c>
      <c r="H27" s="2">
        <v>0</v>
      </c>
      <c r="I27" s="2">
        <v>0</v>
      </c>
      <c r="J27" s="2">
        <v>20406.282800000001</v>
      </c>
      <c r="K27" s="2">
        <v>0</v>
      </c>
      <c r="L27" s="2">
        <v>0</v>
      </c>
      <c r="M27" s="2">
        <v>0</v>
      </c>
      <c r="N27" s="2">
        <v>422.02080000000001</v>
      </c>
      <c r="O27" s="2">
        <v>714.53930000000003</v>
      </c>
      <c r="P27" s="2">
        <v>410.14701103063641</v>
      </c>
      <c r="Q27" s="2">
        <v>3294.4621000000002</v>
      </c>
      <c r="R27" s="2">
        <v>871.27823238309691</v>
      </c>
      <c r="S27" s="2">
        <v>0</v>
      </c>
      <c r="T27" s="2">
        <v>588.90745246519703</v>
      </c>
      <c r="U27" s="2">
        <v>2.2000000000000002</v>
      </c>
      <c r="V27" s="2">
        <v>729.60840000000007</v>
      </c>
      <c r="W27" s="89">
        <f t="shared" si="0"/>
        <v>145615.21898077684</v>
      </c>
      <c r="X27" s="3"/>
      <c r="Y27" s="39">
        <v>0</v>
      </c>
      <c r="Z27" s="40"/>
      <c r="AA27" s="41">
        <v>0</v>
      </c>
      <c r="AB27" s="3"/>
      <c r="AC27" s="89">
        <f t="shared" si="3"/>
        <v>145615.21898077684</v>
      </c>
      <c r="AD27" s="115"/>
      <c r="AE27" s="116"/>
      <c r="AF27" s="107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74473.6158</v>
      </c>
      <c r="C28" s="2">
        <v>7408.9427010499303</v>
      </c>
      <c r="D28" s="89">
        <f t="shared" si="1"/>
        <v>81882.558501049934</v>
      </c>
      <c r="E28" s="2">
        <v>0.70829999999999993</v>
      </c>
      <c r="F28" s="89">
        <f t="shared" si="2"/>
        <v>81883.266801049933</v>
      </c>
      <c r="G28" s="2">
        <v>0</v>
      </c>
      <c r="H28" s="2">
        <v>0</v>
      </c>
      <c r="I28" s="2">
        <v>0</v>
      </c>
      <c r="J28" s="2">
        <v>14139.454099999999</v>
      </c>
      <c r="K28" s="2">
        <v>1277.8566000000001</v>
      </c>
      <c r="L28" s="2">
        <v>0</v>
      </c>
      <c r="M28" s="2">
        <v>532.52780000000007</v>
      </c>
      <c r="N28" s="2">
        <v>292.42840000000001</v>
      </c>
      <c r="O28" s="2">
        <v>822.85050000000001</v>
      </c>
      <c r="P28" s="2">
        <v>577.09991467717327</v>
      </c>
      <c r="Q28" s="2">
        <v>2888.2955000000002</v>
      </c>
      <c r="R28" s="2">
        <v>1744.6209888999524</v>
      </c>
      <c r="S28" s="2">
        <v>0</v>
      </c>
      <c r="T28" s="2">
        <v>828.62591078784988</v>
      </c>
      <c r="U28" s="2">
        <v>3</v>
      </c>
      <c r="V28" s="2">
        <v>505.56329999999997</v>
      </c>
      <c r="W28" s="89">
        <f t="shared" si="0"/>
        <v>105495.5898154149</v>
      </c>
      <c r="X28" s="3"/>
      <c r="Y28" s="39">
        <v>37.569209999999998</v>
      </c>
      <c r="Z28" s="40"/>
      <c r="AA28" s="41">
        <v>0</v>
      </c>
      <c r="AB28" s="3"/>
      <c r="AC28" s="89">
        <f t="shared" si="3"/>
        <v>105533.15902541491</v>
      </c>
      <c r="AD28" s="115"/>
      <c r="AE28" s="116"/>
      <c r="AF28" s="107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406465.64689999999</v>
      </c>
      <c r="C29" s="2">
        <v>65315.679075045409</v>
      </c>
      <c r="D29" s="89">
        <f t="shared" si="1"/>
        <v>471781.32597504539</v>
      </c>
      <c r="E29" s="2">
        <v>11.290799999999999</v>
      </c>
      <c r="F29" s="89">
        <f t="shared" si="2"/>
        <v>471792.6167750454</v>
      </c>
      <c r="G29" s="2">
        <v>0</v>
      </c>
      <c r="H29" s="2">
        <v>0</v>
      </c>
      <c r="I29" s="2">
        <v>0</v>
      </c>
      <c r="J29" s="2">
        <v>81450.659</v>
      </c>
      <c r="K29" s="2">
        <v>17568.018600000003</v>
      </c>
      <c r="L29" s="2">
        <v>5.0000000000000004E-8</v>
      </c>
      <c r="M29" s="2">
        <v>7322.0352999999996</v>
      </c>
      <c r="N29" s="2">
        <v>1684.0206000000001</v>
      </c>
      <c r="O29" s="2">
        <v>3551.7047000000002</v>
      </c>
      <c r="P29" s="2">
        <v>363.62391494979818</v>
      </c>
      <c r="Q29" s="2">
        <v>5196.9083000000001</v>
      </c>
      <c r="R29" s="2">
        <v>633.98340808180001</v>
      </c>
      <c r="S29" s="2">
        <v>0</v>
      </c>
      <c r="T29" s="2">
        <v>522.10750694063665</v>
      </c>
      <c r="U29" s="2">
        <v>0.5</v>
      </c>
      <c r="V29" s="2">
        <v>2912.2076000000002</v>
      </c>
      <c r="W29" s="89">
        <f t="shared" si="0"/>
        <v>592998.38570506754</v>
      </c>
      <c r="X29" s="3"/>
      <c r="Y29" s="39">
        <v>6141.1197120000006</v>
      </c>
      <c r="Z29" s="40"/>
      <c r="AA29" s="41">
        <v>0</v>
      </c>
      <c r="AB29" s="3"/>
      <c r="AC29" s="89">
        <f t="shared" si="3"/>
        <v>599139.50541706756</v>
      </c>
      <c r="AD29" s="115"/>
      <c r="AE29" s="116"/>
      <c r="AF29" s="107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181349.90340000001</v>
      </c>
      <c r="C30" s="2">
        <v>32560.353449351165</v>
      </c>
      <c r="D30" s="89">
        <f t="shared" si="1"/>
        <v>213910.25684935116</v>
      </c>
      <c r="E30" s="2">
        <v>2.6333000000000002</v>
      </c>
      <c r="F30" s="89">
        <f t="shared" si="2"/>
        <v>213912.89014935115</v>
      </c>
      <c r="G30" s="2">
        <v>0</v>
      </c>
      <c r="H30" s="2">
        <v>0</v>
      </c>
      <c r="I30" s="2">
        <v>0</v>
      </c>
      <c r="J30" s="2">
        <v>36937.955000000002</v>
      </c>
      <c r="K30" s="2">
        <v>0</v>
      </c>
      <c r="L30" s="2">
        <v>0</v>
      </c>
      <c r="M30" s="2">
        <v>0</v>
      </c>
      <c r="N30" s="2">
        <v>763.93169999999998</v>
      </c>
      <c r="O30" s="2">
        <v>1424.4106000000002</v>
      </c>
      <c r="P30" s="2">
        <v>484.82559416199757</v>
      </c>
      <c r="Q30" s="2">
        <v>3881.1471000000001</v>
      </c>
      <c r="R30" s="2">
        <v>894.36781168186781</v>
      </c>
      <c r="S30" s="2">
        <v>0</v>
      </c>
      <c r="T30" s="2">
        <v>696.13430763468637</v>
      </c>
      <c r="U30" s="2">
        <v>2.2000000000000002</v>
      </c>
      <c r="V30" s="2">
        <v>1320.7191</v>
      </c>
      <c r="W30" s="89">
        <f t="shared" si="0"/>
        <v>260318.58136282972</v>
      </c>
      <c r="X30" s="3"/>
      <c r="Y30" s="39">
        <v>8466.1984470000007</v>
      </c>
      <c r="Z30" s="40"/>
      <c r="AA30" s="41">
        <v>0</v>
      </c>
      <c r="AB30" s="3"/>
      <c r="AC30" s="89">
        <f t="shared" si="3"/>
        <v>268784.77980982972</v>
      </c>
      <c r="AD30" s="115"/>
      <c r="AE30" s="116"/>
      <c r="AF30" s="107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205864.1752</v>
      </c>
      <c r="C31" s="2">
        <v>40456.726591259307</v>
      </c>
      <c r="D31" s="89">
        <f t="shared" si="1"/>
        <v>246320.9017912593</v>
      </c>
      <c r="E31" s="2">
        <v>4.6500000000000004</v>
      </c>
      <c r="F31" s="89">
        <f t="shared" si="2"/>
        <v>246325.55179125929</v>
      </c>
      <c r="G31" s="2">
        <v>0</v>
      </c>
      <c r="H31" s="2">
        <v>0</v>
      </c>
      <c r="I31" s="2">
        <v>0</v>
      </c>
      <c r="J31" s="2">
        <v>42534.614799999996</v>
      </c>
      <c r="K31" s="2">
        <v>0</v>
      </c>
      <c r="L31" s="2">
        <v>0</v>
      </c>
      <c r="M31" s="2">
        <v>0</v>
      </c>
      <c r="N31" s="2">
        <v>879.67719999999997</v>
      </c>
      <c r="O31" s="2">
        <v>1223.2586000000001</v>
      </c>
      <c r="P31" s="2">
        <v>373.42123159610628</v>
      </c>
      <c r="Q31" s="2">
        <v>3790.8878999999997</v>
      </c>
      <c r="R31" s="2">
        <v>876.51461875914435</v>
      </c>
      <c r="S31" s="2">
        <v>0</v>
      </c>
      <c r="T31" s="2">
        <v>536.17493306989718</v>
      </c>
      <c r="U31" s="2">
        <v>2.2000000000000002</v>
      </c>
      <c r="V31" s="2">
        <v>1520.8251</v>
      </c>
      <c r="W31" s="89">
        <f t="shared" si="0"/>
        <v>298063.12617468444</v>
      </c>
      <c r="X31" s="3"/>
      <c r="Y31" s="39">
        <v>16385.663106</v>
      </c>
      <c r="Z31" s="40"/>
      <c r="AA31" s="41">
        <v>0</v>
      </c>
      <c r="AB31" s="3"/>
      <c r="AC31" s="89">
        <f t="shared" si="3"/>
        <v>314448.78928068443</v>
      </c>
      <c r="AD31" s="115"/>
      <c r="AE31" s="116"/>
      <c r="AF31" s="107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60151.988299999997</v>
      </c>
      <c r="C32" s="2">
        <v>3704.4713505249651</v>
      </c>
      <c r="D32" s="89">
        <f t="shared" si="1"/>
        <v>63856.459650524965</v>
      </c>
      <c r="E32" s="2">
        <v>1</v>
      </c>
      <c r="F32" s="89">
        <f t="shared" si="2"/>
        <v>63857.459650524965</v>
      </c>
      <c r="G32" s="2">
        <v>0</v>
      </c>
      <c r="H32" s="2">
        <v>0</v>
      </c>
      <c r="I32" s="2">
        <v>0</v>
      </c>
      <c r="J32" s="2">
        <v>11026.659599999999</v>
      </c>
      <c r="K32" s="2">
        <v>113.34830000000001</v>
      </c>
      <c r="L32" s="2">
        <v>0</v>
      </c>
      <c r="M32" s="2">
        <v>47.236199999999997</v>
      </c>
      <c r="N32" s="2">
        <v>228.05270000000002</v>
      </c>
      <c r="O32" s="2">
        <v>644.03919999999994</v>
      </c>
      <c r="P32" s="2">
        <v>424.39517458624806</v>
      </c>
      <c r="Q32" s="2">
        <v>2391.8697000000002</v>
      </c>
      <c r="R32" s="2">
        <v>609.86940180281738</v>
      </c>
      <c r="S32" s="2">
        <v>0</v>
      </c>
      <c r="T32" s="2">
        <v>609.36560401617021</v>
      </c>
      <c r="U32" s="2">
        <v>3</v>
      </c>
      <c r="V32" s="2">
        <v>394.26769999999999</v>
      </c>
      <c r="W32" s="89">
        <f t="shared" si="0"/>
        <v>80349.563230930187</v>
      </c>
      <c r="X32" s="3"/>
      <c r="Y32" s="39">
        <v>0</v>
      </c>
      <c r="Z32" s="40"/>
      <c r="AA32" s="43">
        <v>0</v>
      </c>
      <c r="AB32" s="3"/>
      <c r="AC32" s="89">
        <f t="shared" si="3"/>
        <v>80349.563230930187</v>
      </c>
      <c r="AD32" s="115"/>
      <c r="AE32" s="116"/>
      <c r="AF32" s="107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4320127.6386000002</v>
      </c>
      <c r="C33" s="83">
        <f>SUM(C10:C32)</f>
        <v>923388.22716243367</v>
      </c>
      <c r="D33" s="83">
        <f>SUM(D10:D32)</f>
        <v>5243515.865762434</v>
      </c>
      <c r="E33" s="83">
        <f t="shared" ref="E33:W33" si="4">SUM(E10:E32)</f>
        <v>107.0158</v>
      </c>
      <c r="F33" s="83">
        <f>SUM(F10:F32)</f>
        <v>5243622.8815624323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905428.76049999997</v>
      </c>
      <c r="K33" s="83">
        <f t="shared" si="4"/>
        <v>105701.55410000002</v>
      </c>
      <c r="L33" s="83">
        <f t="shared" si="4"/>
        <v>6.0000000000000008E-8</v>
      </c>
      <c r="M33" s="83">
        <f t="shared" si="4"/>
        <v>44050.446100000001</v>
      </c>
      <c r="N33" s="83">
        <f t="shared" si="4"/>
        <v>18724.855800000001</v>
      </c>
      <c r="O33" s="83">
        <f t="shared" si="4"/>
        <v>37460.62950000001</v>
      </c>
      <c r="P33" s="83">
        <f t="shared" si="4"/>
        <v>10487.386688140003</v>
      </c>
      <c r="Q33" s="83">
        <f t="shared" si="4"/>
        <v>89217.555699999997</v>
      </c>
      <c r="R33" s="83">
        <f>SUM(R10:R32)</f>
        <v>22582.692542149998</v>
      </c>
      <c r="S33" s="83">
        <f t="shared" si="4"/>
        <v>0</v>
      </c>
      <c r="T33" s="83">
        <f t="shared" si="4"/>
        <v>15058.259627689997</v>
      </c>
      <c r="U33" s="83">
        <f t="shared" si="4"/>
        <v>45.800000000000004</v>
      </c>
      <c r="V33" s="83">
        <f t="shared" si="4"/>
        <v>32373.331100000007</v>
      </c>
      <c r="W33" s="83">
        <f t="shared" si="4"/>
        <v>6524754.1532204729</v>
      </c>
      <c r="X33" s="48"/>
      <c r="Y33" s="95">
        <f>SUM(Y10:Y32)</f>
        <v>298036.17913799995</v>
      </c>
      <c r="Z33" s="40"/>
      <c r="AA33" s="101">
        <f>SUM(AA10:AA32)</f>
        <v>0</v>
      </c>
      <c r="AB33" s="6"/>
      <c r="AC33" s="93">
        <f>SUM(AC10:AC32)</f>
        <v>6822790.3323584739</v>
      </c>
      <c r="AD33" s="115"/>
      <c r="AE33" s="116"/>
      <c r="AF33" s="107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76844.989300000001</v>
      </c>
      <c r="C34" s="2">
        <v>50869.929897627931</v>
      </c>
      <c r="D34" s="89">
        <f>B34+C34</f>
        <v>127714.91919762793</v>
      </c>
      <c r="E34" s="2">
        <v>0</v>
      </c>
      <c r="F34" s="89">
        <f>D34+E34</f>
        <v>127714.91919762793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1173.3701000000001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128888.28929762793</v>
      </c>
      <c r="X34" s="3"/>
      <c r="Y34" s="39"/>
      <c r="Z34" s="40"/>
      <c r="AA34" s="97">
        <v>0</v>
      </c>
      <c r="AB34" s="3"/>
      <c r="AC34" s="89">
        <f>+W34+Y34+AA34</f>
        <v>128888.28929762793</v>
      </c>
      <c r="AD34" s="115"/>
      <c r="AE34" s="116"/>
      <c r="AF34" s="107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07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3670891.6785999998</v>
      </c>
      <c r="C36" s="2">
        <v>0</v>
      </c>
      <c r="D36" s="89">
        <f>B36+C36</f>
        <v>3670891.6785999998</v>
      </c>
      <c r="E36" s="2">
        <v>0</v>
      </c>
      <c r="F36" s="89">
        <f>D36+E36</f>
        <v>3670891.6785999998</v>
      </c>
      <c r="G36" s="2">
        <v>0</v>
      </c>
      <c r="H36" s="2">
        <v>0</v>
      </c>
      <c r="I36" s="2">
        <v>0</v>
      </c>
      <c r="J36" s="2">
        <v>655928.72259999998</v>
      </c>
      <c r="K36" s="2">
        <v>0</v>
      </c>
      <c r="L36" s="2">
        <v>0</v>
      </c>
      <c r="M36" s="2">
        <v>0</v>
      </c>
      <c r="N36" s="2">
        <v>0</v>
      </c>
      <c r="O36" s="2">
        <v>62289.054499999998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4389109.4556999998</v>
      </c>
      <c r="X36" s="3"/>
      <c r="Y36" s="39">
        <f>-SUM(Y33)</f>
        <v>-298036.17913799995</v>
      </c>
      <c r="Z36" s="40"/>
      <c r="AA36" s="41">
        <f>-(AA33+AA34)</f>
        <v>0</v>
      </c>
      <c r="AB36" s="3"/>
      <c r="AC36" s="89">
        <f>+W36+Y36+AA36</f>
        <v>4091073.2765619997</v>
      </c>
      <c r="AD36" s="115"/>
      <c r="AE36" s="116"/>
      <c r="AF36" s="107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656456.7365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75381.666500000007</v>
      </c>
      <c r="W37" s="89">
        <f>SUM(F37:V37)</f>
        <v>731838.40300000005</v>
      </c>
      <c r="X37" s="3"/>
      <c r="Y37" s="39"/>
      <c r="Z37" s="40"/>
      <c r="AA37" s="41"/>
      <c r="AB37" s="3"/>
      <c r="AC37" s="89">
        <f t="shared" si="3"/>
        <v>731838.40300000005</v>
      </c>
      <c r="AD37" s="115"/>
      <c r="AE37" s="116"/>
      <c r="AF37" s="107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91224.942299999995</v>
      </c>
      <c r="C38" s="37">
        <v>0</v>
      </c>
      <c r="D38" s="89">
        <f>B38+C38</f>
        <v>91224.942299999995</v>
      </c>
      <c r="E38" s="37">
        <v>0</v>
      </c>
      <c r="F38" s="89">
        <f>D38+E38</f>
        <v>91224.942299999995</v>
      </c>
      <c r="G38" s="37">
        <v>0</v>
      </c>
      <c r="H38" s="37">
        <v>0</v>
      </c>
      <c r="I38" s="37">
        <v>0</v>
      </c>
      <c r="J38" s="37">
        <v>15752.3709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106977.31319999999</v>
      </c>
      <c r="X38" s="3"/>
      <c r="Y38" s="42"/>
      <c r="Z38" s="40"/>
      <c r="AA38" s="43"/>
      <c r="AB38" s="3"/>
      <c r="AC38" s="90">
        <f t="shared" si="3"/>
        <v>106977.31319999999</v>
      </c>
      <c r="AD38" s="115"/>
      <c r="AE38" s="116"/>
      <c r="AF38" s="107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8159135.0488</v>
      </c>
      <c r="C39" s="85">
        <f>+SUM(C33:C38)</f>
        <v>974258.15706006158</v>
      </c>
      <c r="D39" s="85">
        <f>+SUM(D33:D38)</f>
        <v>9133393.2058600616</v>
      </c>
      <c r="E39" s="85">
        <f t="shared" ref="E39:V39" si="5">+SUM(E33:E38)</f>
        <v>107.0158</v>
      </c>
      <c r="F39" s="85">
        <f>SUM(F33:F38)</f>
        <v>9133500.2216600589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1577109.8539999998</v>
      </c>
      <c r="K39" s="85">
        <f t="shared" si="5"/>
        <v>105701.55410000002</v>
      </c>
      <c r="L39" s="85">
        <f t="shared" si="5"/>
        <v>6.0000000000000008E-8</v>
      </c>
      <c r="M39" s="85">
        <f t="shared" si="5"/>
        <v>700507.18259999994</v>
      </c>
      <c r="N39" s="85">
        <f t="shared" si="5"/>
        <v>18724.855800000001</v>
      </c>
      <c r="O39" s="85">
        <f t="shared" si="5"/>
        <v>99749.684000000008</v>
      </c>
      <c r="P39" s="85">
        <f t="shared" si="5"/>
        <v>10487.386688140003</v>
      </c>
      <c r="Q39" s="85">
        <f t="shared" si="5"/>
        <v>90390.925799999997</v>
      </c>
      <c r="R39" s="85">
        <f t="shared" si="5"/>
        <v>22582.692542149998</v>
      </c>
      <c r="S39" s="85">
        <f t="shared" si="5"/>
        <v>0</v>
      </c>
      <c r="T39" s="85">
        <f t="shared" si="5"/>
        <v>15058.259627689997</v>
      </c>
      <c r="U39" s="85">
        <f t="shared" si="5"/>
        <v>45.800000000000004</v>
      </c>
      <c r="V39" s="85">
        <f t="shared" si="5"/>
        <v>107754.99760000002</v>
      </c>
      <c r="W39" s="85">
        <f>+SUM(W33:W38)</f>
        <v>11881567.614418102</v>
      </c>
      <c r="X39" s="47"/>
      <c r="Y39" s="46">
        <f>+SUM(Y33:Y38)</f>
        <v>0</v>
      </c>
      <c r="Z39" s="49"/>
      <c r="AA39" s="102"/>
      <c r="AB39" s="7"/>
      <c r="AC39" s="94">
        <f>+SUM(AC33:AC38)</f>
        <v>11881567.614418104</v>
      </c>
      <c r="AD39" s="115"/>
      <c r="AE39" s="116"/>
      <c r="AF39" s="107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F40" s="103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F41" s="103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3154697.91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5666518.96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270737.84000000003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122.584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12720.614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17742.123100000001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10960.190560058594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9133500.2216600589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9133454.4216600582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3 W33 AC33 F39" formula="1"/>
    <ignoredError sqref="W9:Y9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8A19-071F-41ED-A816-8D30C41D7D55}">
  <sheetPr>
    <pageSetUpPr fitToPage="1"/>
  </sheetPr>
  <dimension ref="A1:AZ77"/>
  <sheetViews>
    <sheetView showGridLines="0" showZeros="0" topLeftCell="J1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1081352.3255</v>
      </c>
      <c r="C10" s="2">
        <v>322094.03531932976</v>
      </c>
      <c r="D10" s="89">
        <f>B10+C10</f>
        <v>1403446.3608193297</v>
      </c>
      <c r="E10" s="2">
        <v>35.008399999999995</v>
      </c>
      <c r="F10" s="89">
        <f>D10+E10</f>
        <v>1403481.3692193297</v>
      </c>
      <c r="G10" s="2">
        <v>0</v>
      </c>
      <c r="H10" s="2">
        <v>0</v>
      </c>
      <c r="I10" s="2">
        <v>0</v>
      </c>
      <c r="J10" s="2">
        <v>19815.605600000003</v>
      </c>
      <c r="K10" s="2">
        <v>4717.5164999999997</v>
      </c>
      <c r="L10" s="2">
        <v>0</v>
      </c>
      <c r="M10" s="2">
        <v>20429.028300000002</v>
      </c>
      <c r="N10" s="2">
        <v>3652.7134999999998</v>
      </c>
      <c r="O10" s="2">
        <v>7867.7529999999997</v>
      </c>
      <c r="P10" s="2">
        <v>216.4901803837792</v>
      </c>
      <c r="Q10" s="2">
        <v>11773.4172</v>
      </c>
      <c r="R10" s="2">
        <v>364.52820382536527</v>
      </c>
      <c r="S10" s="2">
        <v>0</v>
      </c>
      <c r="T10" s="2">
        <v>265.22979133857507</v>
      </c>
      <c r="U10" s="2">
        <v>0</v>
      </c>
      <c r="V10" s="2">
        <v>6964.5477000000001</v>
      </c>
      <c r="W10" s="89">
        <f t="shared" ref="W10:W32" si="0">SUM(F10:V10)</f>
        <v>1479548.1991948772</v>
      </c>
      <c r="X10" s="3"/>
      <c r="Y10" s="39">
        <v>158484.169746</v>
      </c>
      <c r="Z10" s="40"/>
      <c r="AA10" s="97">
        <v>0</v>
      </c>
      <c r="AB10" s="3"/>
      <c r="AC10" s="89">
        <f>+W10+Y10+AA10</f>
        <v>1638032.3689408773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161014.30300000001</v>
      </c>
      <c r="C11" s="2">
        <v>15012.857578443331</v>
      </c>
      <c r="D11" s="89">
        <f t="shared" ref="D11:D32" si="1">B11+C11</f>
        <v>176027.16057844335</v>
      </c>
      <c r="E11" s="2">
        <v>1.7832999999999999</v>
      </c>
      <c r="F11" s="89">
        <f t="shared" ref="F11:F32" si="2">D11+E11</f>
        <v>176028.94387844336</v>
      </c>
      <c r="G11" s="2">
        <v>0</v>
      </c>
      <c r="H11" s="2">
        <v>0</v>
      </c>
      <c r="I11" s="2">
        <v>0</v>
      </c>
      <c r="J11" s="2">
        <v>2485.3708999999999</v>
      </c>
      <c r="K11" s="2">
        <v>0</v>
      </c>
      <c r="L11" s="2">
        <v>0</v>
      </c>
      <c r="M11" s="2">
        <v>0</v>
      </c>
      <c r="N11" s="2">
        <v>458.14830000000001</v>
      </c>
      <c r="O11" s="2">
        <v>807.68690000000004</v>
      </c>
      <c r="P11" s="2">
        <v>326.28218648476866</v>
      </c>
      <c r="Q11" s="2">
        <v>1705.1156000000001</v>
      </c>
      <c r="R11" s="2">
        <v>519.78986097341988</v>
      </c>
      <c r="S11" s="2">
        <v>0</v>
      </c>
      <c r="T11" s="2">
        <v>399.73986852416721</v>
      </c>
      <c r="U11" s="2">
        <v>2.2000000000000002</v>
      </c>
      <c r="V11" s="2">
        <v>873.54130000000009</v>
      </c>
      <c r="W11" s="89">
        <f t="shared" si="0"/>
        <v>183606.81879442575</v>
      </c>
      <c r="X11" s="3"/>
      <c r="Y11" s="39">
        <v>5365.4888169999995</v>
      </c>
      <c r="Z11" s="40"/>
      <c r="AA11" s="41">
        <v>0</v>
      </c>
      <c r="AB11" s="3"/>
      <c r="AC11" s="89">
        <f t="shared" ref="AC11:AC38" si="3">+W11+Y11+AA11</f>
        <v>188972.30761142576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498452.0246</v>
      </c>
      <c r="C12" s="2">
        <v>69020.150425570304</v>
      </c>
      <c r="D12" s="89">
        <f t="shared" si="1"/>
        <v>567472.17502557032</v>
      </c>
      <c r="E12" s="2">
        <v>10.441700000000001</v>
      </c>
      <c r="F12" s="89">
        <f>D12+E12</f>
        <v>567482.61672557029</v>
      </c>
      <c r="G12" s="2">
        <v>0</v>
      </c>
      <c r="H12" s="2">
        <v>0</v>
      </c>
      <c r="I12" s="2">
        <v>0</v>
      </c>
      <c r="J12" s="2">
        <v>8012.2797</v>
      </c>
      <c r="K12" s="2">
        <v>1611.0521000000001</v>
      </c>
      <c r="L12" s="2">
        <v>0</v>
      </c>
      <c r="M12" s="2">
        <v>6976.6008000000002</v>
      </c>
      <c r="N12" s="2">
        <v>1476.9543999999999</v>
      </c>
      <c r="O12" s="2">
        <v>3535.5929999999998</v>
      </c>
      <c r="P12" s="2">
        <v>216.4901803837792</v>
      </c>
      <c r="Q12" s="2">
        <v>4587.5729000000001</v>
      </c>
      <c r="R12" s="2">
        <v>343.32000612679525</v>
      </c>
      <c r="S12" s="2">
        <v>0</v>
      </c>
      <c r="T12" s="2">
        <v>265.22979133857507</v>
      </c>
      <c r="U12" s="2">
        <v>0.5</v>
      </c>
      <c r="V12" s="2">
        <v>2816.076</v>
      </c>
      <c r="W12" s="89">
        <f t="shared" si="0"/>
        <v>597324.28560341941</v>
      </c>
      <c r="X12" s="3"/>
      <c r="Y12" s="39">
        <v>7267.7414460000009</v>
      </c>
      <c r="Z12" s="40"/>
      <c r="AA12" s="41">
        <v>0</v>
      </c>
      <c r="AB12" s="3"/>
      <c r="AC12" s="89">
        <f t="shared" si="3"/>
        <v>604592.02704941947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206184.59840000002</v>
      </c>
      <c r="C13" s="2">
        <v>31390.520391290131</v>
      </c>
      <c r="D13" s="89">
        <f t="shared" si="1"/>
        <v>237575.11879129015</v>
      </c>
      <c r="E13" s="2">
        <v>3.2166999999999999</v>
      </c>
      <c r="F13" s="89">
        <f t="shared" si="2"/>
        <v>237578.33549129014</v>
      </c>
      <c r="G13" s="2">
        <v>0</v>
      </c>
      <c r="H13" s="2">
        <v>0</v>
      </c>
      <c r="I13" s="2">
        <v>0</v>
      </c>
      <c r="J13" s="2">
        <v>3354.3817000000004</v>
      </c>
      <c r="K13" s="2">
        <v>515.13980000000004</v>
      </c>
      <c r="L13" s="2">
        <v>0</v>
      </c>
      <c r="M13" s="2">
        <v>2230.7937000000002</v>
      </c>
      <c r="N13" s="2">
        <v>618.3338</v>
      </c>
      <c r="O13" s="2">
        <v>1041.4455</v>
      </c>
      <c r="P13" s="2">
        <v>274.07541324237371</v>
      </c>
      <c r="Q13" s="2">
        <v>4019.201</v>
      </c>
      <c r="R13" s="2">
        <v>493.27575469495838</v>
      </c>
      <c r="S13" s="2">
        <v>0</v>
      </c>
      <c r="T13" s="2">
        <v>335.77950067021931</v>
      </c>
      <c r="U13" s="2">
        <v>1.5</v>
      </c>
      <c r="V13" s="2">
        <v>1178.9633999999999</v>
      </c>
      <c r="W13" s="89">
        <f t="shared" si="0"/>
        <v>251641.2250598977</v>
      </c>
      <c r="X13" s="3"/>
      <c r="Y13" s="39">
        <v>8320.5142859999996</v>
      </c>
      <c r="Z13" s="40"/>
      <c r="AA13" s="41">
        <v>0</v>
      </c>
      <c r="AB13" s="3"/>
      <c r="AC13" s="89">
        <f t="shared" si="3"/>
        <v>259961.73934589769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282748.5711</v>
      </c>
      <c r="C14" s="2">
        <v>36069.852623532344</v>
      </c>
      <c r="D14" s="89">
        <f t="shared" si="1"/>
        <v>318818.42372353235</v>
      </c>
      <c r="E14" s="2">
        <v>2.8</v>
      </c>
      <c r="F14" s="89">
        <f t="shared" si="2"/>
        <v>318821.22372353234</v>
      </c>
      <c r="G14" s="2">
        <v>0</v>
      </c>
      <c r="H14" s="2">
        <v>0</v>
      </c>
      <c r="I14" s="2">
        <v>0</v>
      </c>
      <c r="J14" s="2">
        <v>4501.4759999999997</v>
      </c>
      <c r="K14" s="2">
        <v>404.98740000000004</v>
      </c>
      <c r="L14" s="2">
        <v>0</v>
      </c>
      <c r="M14" s="2">
        <v>1753.7827</v>
      </c>
      <c r="N14" s="2">
        <v>829.79079999999999</v>
      </c>
      <c r="O14" s="2">
        <v>1054.1826000000001</v>
      </c>
      <c r="P14" s="2">
        <v>291.09180053537199</v>
      </c>
      <c r="Q14" s="2">
        <v>3735.0151000000001</v>
      </c>
      <c r="R14" s="2">
        <v>502.36170294278753</v>
      </c>
      <c r="S14" s="2">
        <v>0</v>
      </c>
      <c r="T14" s="2">
        <v>356.62687972798051</v>
      </c>
      <c r="U14" s="2">
        <v>0.5</v>
      </c>
      <c r="V14" s="2">
        <v>1582.1436999999999</v>
      </c>
      <c r="W14" s="89">
        <f t="shared" si="0"/>
        <v>333833.18240673858</v>
      </c>
      <c r="X14" s="3"/>
      <c r="Y14" s="39">
        <v>10191.410355</v>
      </c>
      <c r="Z14" s="40"/>
      <c r="AA14" s="41">
        <v>0</v>
      </c>
      <c r="AB14" s="3"/>
      <c r="AC14" s="89">
        <f t="shared" si="3"/>
        <v>344024.59276173858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86449.058400000009</v>
      </c>
      <c r="C15" s="2">
        <v>14622.913225756532</v>
      </c>
      <c r="D15" s="89">
        <f t="shared" si="1"/>
        <v>101071.97162575655</v>
      </c>
      <c r="E15" s="2">
        <v>2.0167000000000002</v>
      </c>
      <c r="F15" s="89">
        <f t="shared" si="2"/>
        <v>101073.98832575654</v>
      </c>
      <c r="G15" s="2">
        <v>0</v>
      </c>
      <c r="H15" s="2">
        <v>0</v>
      </c>
      <c r="I15" s="2">
        <v>0</v>
      </c>
      <c r="J15" s="2">
        <v>1427.0601000000001</v>
      </c>
      <c r="K15" s="2">
        <v>158.42349999999999</v>
      </c>
      <c r="L15" s="2">
        <v>0</v>
      </c>
      <c r="M15" s="2">
        <v>686.04690000000005</v>
      </c>
      <c r="N15" s="2">
        <v>263.06459999999998</v>
      </c>
      <c r="O15" s="2">
        <v>919.55790000000002</v>
      </c>
      <c r="P15" s="2">
        <v>305.20479367677069</v>
      </c>
      <c r="Q15" s="2">
        <v>2598.2714000000001</v>
      </c>
      <c r="R15" s="2">
        <v>710.89960817969154</v>
      </c>
      <c r="S15" s="2">
        <v>0</v>
      </c>
      <c r="T15" s="2">
        <v>373.91720772002049</v>
      </c>
      <c r="U15" s="2">
        <v>3</v>
      </c>
      <c r="V15" s="2">
        <v>501.5795</v>
      </c>
      <c r="W15" s="89">
        <f t="shared" si="0"/>
        <v>109021.01383533304</v>
      </c>
      <c r="X15" s="3"/>
      <c r="Y15" s="39">
        <v>1996.6080749999999</v>
      </c>
      <c r="Z15" s="40"/>
      <c r="AA15" s="41">
        <v>0</v>
      </c>
      <c r="AB15" s="3"/>
      <c r="AC15" s="89">
        <f t="shared" si="3"/>
        <v>111017.62191033304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281535.00270000001</v>
      </c>
      <c r="C16" s="2">
        <v>30513.145597744995</v>
      </c>
      <c r="D16" s="89">
        <f t="shared" si="1"/>
        <v>312048.14829774504</v>
      </c>
      <c r="E16" s="2">
        <v>5.6249000000000002</v>
      </c>
      <c r="F16" s="89">
        <f t="shared" si="2"/>
        <v>312053.77319774503</v>
      </c>
      <c r="G16" s="2">
        <v>0</v>
      </c>
      <c r="H16" s="2">
        <v>0</v>
      </c>
      <c r="I16" s="2">
        <v>0</v>
      </c>
      <c r="J16" s="2">
        <v>4405.8847999999998</v>
      </c>
      <c r="K16" s="2">
        <v>699.16120000000012</v>
      </c>
      <c r="L16" s="2">
        <v>0</v>
      </c>
      <c r="M16" s="2">
        <v>3027.6911999999998</v>
      </c>
      <c r="N16" s="2">
        <v>812.15680000000009</v>
      </c>
      <c r="O16" s="2">
        <v>1327.2797</v>
      </c>
      <c r="P16" s="2">
        <v>250.51296479797594</v>
      </c>
      <c r="Q16" s="2">
        <v>3166.6432999999997</v>
      </c>
      <c r="R16" s="2">
        <v>479.73403154764435</v>
      </c>
      <c r="S16" s="2">
        <v>0</v>
      </c>
      <c r="T16" s="2">
        <v>306.91231013774859</v>
      </c>
      <c r="U16" s="2">
        <v>1.8</v>
      </c>
      <c r="V16" s="2">
        <v>1548.5213000000001</v>
      </c>
      <c r="W16" s="89">
        <f t="shared" si="0"/>
        <v>328080.07080422837</v>
      </c>
      <c r="X16" s="3"/>
      <c r="Y16" s="39">
        <v>4936.9680990000006</v>
      </c>
      <c r="Z16" s="40"/>
      <c r="AA16" s="41">
        <v>0</v>
      </c>
      <c r="AB16" s="3"/>
      <c r="AC16" s="89">
        <f t="shared" si="3"/>
        <v>333017.03890322836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212081.7176</v>
      </c>
      <c r="C17" s="2">
        <v>20569.564604230683</v>
      </c>
      <c r="D17" s="89">
        <f t="shared" si="1"/>
        <v>232651.28220423069</v>
      </c>
      <c r="E17" s="2">
        <v>1.7251000000000001</v>
      </c>
      <c r="F17" s="89">
        <f t="shared" si="2"/>
        <v>232653.0073042307</v>
      </c>
      <c r="G17" s="2">
        <v>0</v>
      </c>
      <c r="H17" s="2">
        <v>0</v>
      </c>
      <c r="I17" s="2">
        <v>0</v>
      </c>
      <c r="J17" s="2">
        <v>3284.8609000000001</v>
      </c>
      <c r="K17" s="2">
        <v>188.65100000000001</v>
      </c>
      <c r="L17" s="2">
        <v>0</v>
      </c>
      <c r="M17" s="2">
        <v>816.94619999999998</v>
      </c>
      <c r="N17" s="2">
        <v>605.52440000000001</v>
      </c>
      <c r="O17" s="2">
        <v>710.27350000000001</v>
      </c>
      <c r="P17" s="2">
        <v>336.37163727266767</v>
      </c>
      <c r="Q17" s="2">
        <v>3247.8392000000003</v>
      </c>
      <c r="R17" s="2">
        <v>524.1351202246143</v>
      </c>
      <c r="S17" s="2">
        <v>0</v>
      </c>
      <c r="T17" s="2">
        <v>412.10081221344279</v>
      </c>
      <c r="U17" s="2">
        <v>2.2000000000000002</v>
      </c>
      <c r="V17" s="2">
        <v>1154.5399</v>
      </c>
      <c r="W17" s="89">
        <f t="shared" si="0"/>
        <v>243936.44997394146</v>
      </c>
      <c r="X17" s="3"/>
      <c r="Y17" s="39">
        <v>5130.6300570000003</v>
      </c>
      <c r="Z17" s="40"/>
      <c r="AA17" s="41">
        <v>0</v>
      </c>
      <c r="AB17" s="3"/>
      <c r="AC17" s="89">
        <f t="shared" si="3"/>
        <v>249067.08003094146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161776.8009</v>
      </c>
      <c r="C18" s="2">
        <v>19789.675898857087</v>
      </c>
      <c r="D18" s="89">
        <f t="shared" si="1"/>
        <v>181566.4767988571</v>
      </c>
      <c r="E18" s="2">
        <v>2.7749999999999999</v>
      </c>
      <c r="F18" s="89">
        <f t="shared" si="2"/>
        <v>181569.25179885709</v>
      </c>
      <c r="G18" s="2">
        <v>0</v>
      </c>
      <c r="H18" s="2">
        <v>0</v>
      </c>
      <c r="I18" s="2">
        <v>0</v>
      </c>
      <c r="J18" s="2">
        <v>2563.5819000000001</v>
      </c>
      <c r="K18" s="2">
        <v>0</v>
      </c>
      <c r="L18" s="2">
        <v>0</v>
      </c>
      <c r="M18" s="2">
        <v>0</v>
      </c>
      <c r="N18" s="2">
        <v>472.5548</v>
      </c>
      <c r="O18" s="2">
        <v>789.5123000000001</v>
      </c>
      <c r="P18" s="2">
        <v>271.43988060607393</v>
      </c>
      <c r="Q18" s="2">
        <v>2435.8793999999998</v>
      </c>
      <c r="R18" s="2">
        <v>503.5361452775939</v>
      </c>
      <c r="S18" s="2">
        <v>0</v>
      </c>
      <c r="T18" s="2">
        <v>332.5506162500285</v>
      </c>
      <c r="U18" s="2">
        <v>2.2000000000000002</v>
      </c>
      <c r="V18" s="2">
        <v>901.00969999999995</v>
      </c>
      <c r="W18" s="89">
        <f t="shared" si="0"/>
        <v>189841.51654099079</v>
      </c>
      <c r="X18" s="3"/>
      <c r="Y18" s="39">
        <v>4901.9464200000002</v>
      </c>
      <c r="Z18" s="40"/>
      <c r="AA18" s="41">
        <v>0</v>
      </c>
      <c r="AB18" s="3"/>
      <c r="AC18" s="89">
        <f t="shared" si="3"/>
        <v>194743.46296099079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112015.5904</v>
      </c>
      <c r="C19" s="2">
        <v>10333.525346201272</v>
      </c>
      <c r="D19" s="89">
        <f t="shared" si="1"/>
        <v>122349.11574620128</v>
      </c>
      <c r="E19" s="2">
        <v>1.6</v>
      </c>
      <c r="F19" s="89">
        <f t="shared" si="2"/>
        <v>122350.71574620128</v>
      </c>
      <c r="G19" s="2">
        <v>0</v>
      </c>
      <c r="H19" s="2">
        <v>0</v>
      </c>
      <c r="I19" s="2">
        <v>0</v>
      </c>
      <c r="J19" s="2">
        <v>1727.3849</v>
      </c>
      <c r="K19" s="2">
        <v>139.11620000000002</v>
      </c>
      <c r="L19" s="2">
        <v>5.4000000000000002E-7</v>
      </c>
      <c r="M19" s="2">
        <v>602.53319999999997</v>
      </c>
      <c r="N19" s="2">
        <v>318.41849999999999</v>
      </c>
      <c r="O19" s="2">
        <v>996.50869999999998</v>
      </c>
      <c r="P19" s="2">
        <v>240.96298338377684</v>
      </c>
      <c r="Q19" s="2">
        <v>1655.3678</v>
      </c>
      <c r="R19" s="2">
        <v>657.88564156770269</v>
      </c>
      <c r="S19" s="2">
        <v>0</v>
      </c>
      <c r="T19" s="2">
        <v>295.21228949700827</v>
      </c>
      <c r="U19" s="2">
        <v>2.5</v>
      </c>
      <c r="V19" s="2">
        <v>607.10719999999992</v>
      </c>
      <c r="W19" s="89">
        <f t="shared" si="0"/>
        <v>129593.71316118979</v>
      </c>
      <c r="X19" s="3"/>
      <c r="Y19" s="39">
        <v>0</v>
      </c>
      <c r="Z19" s="40"/>
      <c r="AA19" s="41">
        <v>0</v>
      </c>
      <c r="AB19" s="3"/>
      <c r="AC19" s="89">
        <f t="shared" si="3"/>
        <v>129593.71316118979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120629.77959999999</v>
      </c>
      <c r="C20" s="2">
        <v>11698.330580605118</v>
      </c>
      <c r="D20" s="89">
        <f t="shared" si="1"/>
        <v>132328.11018060512</v>
      </c>
      <c r="E20" s="2">
        <v>1.6916</v>
      </c>
      <c r="F20" s="89">
        <f t="shared" si="2"/>
        <v>132329.80178060511</v>
      </c>
      <c r="G20" s="2">
        <v>0</v>
      </c>
      <c r="H20" s="2">
        <v>0</v>
      </c>
      <c r="I20" s="2">
        <v>0</v>
      </c>
      <c r="J20" s="2">
        <v>1868.3732</v>
      </c>
      <c r="K20" s="2">
        <v>0</v>
      </c>
      <c r="L20" s="2">
        <v>0</v>
      </c>
      <c r="M20" s="2">
        <v>0</v>
      </c>
      <c r="N20" s="2">
        <v>344.40979999999996</v>
      </c>
      <c r="O20" s="2">
        <v>615.80989999999997</v>
      </c>
      <c r="P20" s="2">
        <v>317.4739754443695</v>
      </c>
      <c r="Q20" s="2">
        <v>1623.9196000000002</v>
      </c>
      <c r="R20" s="2">
        <v>556.18874436524072</v>
      </c>
      <c r="S20" s="2">
        <v>0</v>
      </c>
      <c r="T20" s="2">
        <v>388.94861704846852</v>
      </c>
      <c r="U20" s="2">
        <v>2.2000000000000002</v>
      </c>
      <c r="V20" s="2">
        <v>656.67840000000001</v>
      </c>
      <c r="W20" s="89">
        <f t="shared" si="0"/>
        <v>138703.80401746318</v>
      </c>
      <c r="X20" s="3"/>
      <c r="Y20" s="39">
        <v>1639.4061180000001</v>
      </c>
      <c r="Z20" s="40"/>
      <c r="AA20" s="41">
        <v>0</v>
      </c>
      <c r="AB20" s="3"/>
      <c r="AC20" s="89">
        <f t="shared" si="3"/>
        <v>140343.21013546319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221854.03080000001</v>
      </c>
      <c r="C21" s="2">
        <v>44648.628382643154</v>
      </c>
      <c r="D21" s="89">
        <f t="shared" si="1"/>
        <v>266502.65918264317</v>
      </c>
      <c r="E21" s="2">
        <v>5.1416000000000004</v>
      </c>
      <c r="F21" s="89">
        <f t="shared" si="2"/>
        <v>266507.80078264314</v>
      </c>
      <c r="G21" s="2">
        <v>0</v>
      </c>
      <c r="H21" s="2">
        <v>0</v>
      </c>
      <c r="I21" s="2">
        <v>0</v>
      </c>
      <c r="J21" s="2">
        <v>3762.8167999999996</v>
      </c>
      <c r="K21" s="2">
        <v>0</v>
      </c>
      <c r="L21" s="2">
        <v>0</v>
      </c>
      <c r="M21" s="2">
        <v>0</v>
      </c>
      <c r="N21" s="2">
        <v>693.62729999999999</v>
      </c>
      <c r="O21" s="2">
        <v>1442.1086</v>
      </c>
      <c r="P21" s="2">
        <v>246.4213643938763</v>
      </c>
      <c r="Q21" s="2">
        <v>3247.8392000000003</v>
      </c>
      <c r="R21" s="2">
        <v>388.80133172266187</v>
      </c>
      <c r="S21" s="2">
        <v>0</v>
      </c>
      <c r="T21" s="2">
        <v>301.8995454945599</v>
      </c>
      <c r="U21" s="2">
        <v>2.2000000000000002</v>
      </c>
      <c r="V21" s="2">
        <v>1322.5237</v>
      </c>
      <c r="W21" s="89">
        <f t="shared" si="0"/>
        <v>277916.03862425423</v>
      </c>
      <c r="X21" s="3"/>
      <c r="Y21" s="39">
        <v>7185.7661399999997</v>
      </c>
      <c r="Z21" s="40"/>
      <c r="AA21" s="41">
        <v>0</v>
      </c>
      <c r="AB21" s="3"/>
      <c r="AC21" s="89">
        <f t="shared" si="3"/>
        <v>285101.80476425425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172797.46409999998</v>
      </c>
      <c r="C22" s="2">
        <v>38312.032651481597</v>
      </c>
      <c r="D22" s="89">
        <f t="shared" si="1"/>
        <v>211109.49675148158</v>
      </c>
      <c r="E22" s="2">
        <v>2.8416999999999999</v>
      </c>
      <c r="F22" s="89">
        <f t="shared" si="2"/>
        <v>211112.33845148157</v>
      </c>
      <c r="G22" s="2">
        <v>0</v>
      </c>
      <c r="H22" s="2">
        <v>0</v>
      </c>
      <c r="I22" s="2">
        <v>0</v>
      </c>
      <c r="J22" s="2">
        <v>2980.7071000000001</v>
      </c>
      <c r="K22" s="2">
        <v>221.1728</v>
      </c>
      <c r="L22" s="2">
        <v>0</v>
      </c>
      <c r="M22" s="2">
        <v>957.78059999999994</v>
      </c>
      <c r="N22" s="2">
        <v>549.4452</v>
      </c>
      <c r="O22" s="2">
        <v>964.01240000000007</v>
      </c>
      <c r="P22" s="2">
        <v>318.74335184846933</v>
      </c>
      <c r="Q22" s="2">
        <v>3816.2111</v>
      </c>
      <c r="R22" s="2">
        <v>433.6596152681318</v>
      </c>
      <c r="S22" s="2">
        <v>0</v>
      </c>
      <c r="T22" s="2">
        <v>390.5037750820527</v>
      </c>
      <c r="U22" s="2">
        <v>2.2000000000000002</v>
      </c>
      <c r="V22" s="2">
        <v>1047.6149</v>
      </c>
      <c r="W22" s="89">
        <f t="shared" si="0"/>
        <v>222794.38929368023</v>
      </c>
      <c r="X22" s="3"/>
      <c r="Y22" s="39">
        <v>9293.9983499999998</v>
      </c>
      <c r="Z22" s="40"/>
      <c r="AA22" s="41">
        <v>0</v>
      </c>
      <c r="AB22" s="3"/>
      <c r="AC22" s="89">
        <f t="shared" si="3"/>
        <v>232088.38764368024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94347.01</v>
      </c>
      <c r="C23" s="2">
        <v>16572.634989190519</v>
      </c>
      <c r="D23" s="89">
        <f t="shared" si="1"/>
        <v>110919.64498919051</v>
      </c>
      <c r="E23" s="2">
        <v>1.4499</v>
      </c>
      <c r="F23" s="89">
        <f t="shared" si="2"/>
        <v>110921.09488919051</v>
      </c>
      <c r="G23" s="2">
        <v>0</v>
      </c>
      <c r="H23" s="2">
        <v>0</v>
      </c>
      <c r="I23" s="2">
        <v>0</v>
      </c>
      <c r="J23" s="2">
        <v>1566.1018000000001</v>
      </c>
      <c r="K23" s="2">
        <v>99.46759999999999</v>
      </c>
      <c r="L23" s="2">
        <v>0</v>
      </c>
      <c r="M23" s="2">
        <v>430.74080000000004</v>
      </c>
      <c r="N23" s="2">
        <v>288.68359999999996</v>
      </c>
      <c r="O23" s="2">
        <v>1226.3018</v>
      </c>
      <c r="P23" s="2">
        <v>283.05033531307276</v>
      </c>
      <c r="Q23" s="2">
        <v>3491.4272000000001</v>
      </c>
      <c r="R23" s="2">
        <v>569.22718107722915</v>
      </c>
      <c r="S23" s="2">
        <v>0</v>
      </c>
      <c r="T23" s="2">
        <v>346.77499572300832</v>
      </c>
      <c r="U23" s="2">
        <v>2.5</v>
      </c>
      <c r="V23" s="2">
        <v>550.42650000000003</v>
      </c>
      <c r="W23" s="89">
        <f t="shared" si="0"/>
        <v>119775.79670130386</v>
      </c>
      <c r="X23" s="3"/>
      <c r="Y23" s="39">
        <v>2650.8159300000002</v>
      </c>
      <c r="Z23" s="40"/>
      <c r="AA23" s="41">
        <v>0</v>
      </c>
      <c r="AB23" s="3"/>
      <c r="AC23" s="89">
        <f t="shared" si="3"/>
        <v>122426.61263130385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143415.69649999999</v>
      </c>
      <c r="C24" s="2">
        <v>17839.954135422773</v>
      </c>
      <c r="D24" s="89">
        <f t="shared" si="1"/>
        <v>161255.65063542276</v>
      </c>
      <c r="E24" s="2">
        <v>1.2167000000000001</v>
      </c>
      <c r="F24" s="89">
        <f t="shared" si="2"/>
        <v>161256.86733542275</v>
      </c>
      <c r="G24" s="2">
        <v>0</v>
      </c>
      <c r="H24" s="2">
        <v>0</v>
      </c>
      <c r="I24" s="2">
        <v>0</v>
      </c>
      <c r="J24" s="2">
        <v>2276.8082999999997</v>
      </c>
      <c r="K24" s="2">
        <v>0</v>
      </c>
      <c r="L24" s="2">
        <v>0</v>
      </c>
      <c r="M24" s="2">
        <v>0</v>
      </c>
      <c r="N24" s="2">
        <v>419.70320000000004</v>
      </c>
      <c r="O24" s="2">
        <v>929.30150000000003</v>
      </c>
      <c r="P24" s="2">
        <v>263.00442790907471</v>
      </c>
      <c r="Q24" s="2">
        <v>3653.8191000000002</v>
      </c>
      <c r="R24" s="2">
        <v>503.43249521385792</v>
      </c>
      <c r="S24" s="2">
        <v>0</v>
      </c>
      <c r="T24" s="2">
        <v>322.21604423558762</v>
      </c>
      <c r="U24" s="2">
        <v>2.5</v>
      </c>
      <c r="V24" s="2">
        <v>800.23869999999999</v>
      </c>
      <c r="W24" s="89">
        <f t="shared" si="0"/>
        <v>170427.89110278126</v>
      </c>
      <c r="X24" s="3"/>
      <c r="Y24" s="39">
        <v>2560.0745729999999</v>
      </c>
      <c r="Z24" s="40"/>
      <c r="AA24" s="41">
        <v>0</v>
      </c>
      <c r="AB24" s="3"/>
      <c r="AC24" s="89">
        <f t="shared" si="3"/>
        <v>172987.96567578125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207916.16030000002</v>
      </c>
      <c r="C25" s="2">
        <v>37044.713505249667</v>
      </c>
      <c r="D25" s="89">
        <f t="shared" si="1"/>
        <v>244960.87380524969</v>
      </c>
      <c r="E25" s="2">
        <v>3.3167</v>
      </c>
      <c r="F25" s="89">
        <f t="shared" si="2"/>
        <v>244964.19050524969</v>
      </c>
      <c r="G25" s="2">
        <v>0</v>
      </c>
      <c r="H25" s="2">
        <v>0</v>
      </c>
      <c r="I25" s="2">
        <v>0</v>
      </c>
      <c r="J25" s="2">
        <v>3458.663</v>
      </c>
      <c r="K25" s="2">
        <v>0</v>
      </c>
      <c r="L25" s="2">
        <v>0</v>
      </c>
      <c r="M25" s="2">
        <v>0</v>
      </c>
      <c r="N25" s="2">
        <v>637.56479999999999</v>
      </c>
      <c r="O25" s="2">
        <v>1107.5305000000001</v>
      </c>
      <c r="P25" s="2">
        <v>269.06471687877416</v>
      </c>
      <c r="Q25" s="2">
        <v>3247.8392000000003</v>
      </c>
      <c r="R25" s="2">
        <v>604.60439143444569</v>
      </c>
      <c r="S25" s="2">
        <v>0</v>
      </c>
      <c r="T25" s="2">
        <v>329.64071900079364</v>
      </c>
      <c r="U25" s="2">
        <v>2.5</v>
      </c>
      <c r="V25" s="2">
        <v>1215.6306999999999</v>
      </c>
      <c r="W25" s="89">
        <f t="shared" si="0"/>
        <v>255837.22853256369</v>
      </c>
      <c r="X25" s="3"/>
      <c r="Y25" s="39">
        <v>17020.110732999998</v>
      </c>
      <c r="Z25" s="40"/>
      <c r="AA25" s="41">
        <v>0</v>
      </c>
      <c r="AB25" s="3"/>
      <c r="AC25" s="89">
        <f t="shared" si="3"/>
        <v>272857.3392655637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191759.29749999999</v>
      </c>
      <c r="C26" s="2">
        <v>24274.0359547556</v>
      </c>
      <c r="D26" s="89">
        <f t="shared" si="1"/>
        <v>216033.3334547556</v>
      </c>
      <c r="E26" s="2">
        <v>2.5083000000000002</v>
      </c>
      <c r="F26" s="89">
        <f t="shared" si="2"/>
        <v>216035.84175475559</v>
      </c>
      <c r="G26" s="2">
        <v>0</v>
      </c>
      <c r="H26" s="2">
        <v>0</v>
      </c>
      <c r="I26" s="2">
        <v>0</v>
      </c>
      <c r="J26" s="2">
        <v>3050.2280000000001</v>
      </c>
      <c r="K26" s="2">
        <v>0</v>
      </c>
      <c r="L26" s="2">
        <v>0</v>
      </c>
      <c r="M26" s="2">
        <v>0</v>
      </c>
      <c r="N26" s="2">
        <v>562.27139999999997</v>
      </c>
      <c r="O26" s="2">
        <v>825.24530000000004</v>
      </c>
      <c r="P26" s="2">
        <v>249.26793943427606</v>
      </c>
      <c r="Q26" s="2">
        <v>2963.6532999999999</v>
      </c>
      <c r="R26" s="2">
        <v>386.92145381777334</v>
      </c>
      <c r="S26" s="2">
        <v>0</v>
      </c>
      <c r="T26" s="2">
        <v>305.38698545209297</v>
      </c>
      <c r="U26" s="2">
        <v>2.2000000000000002</v>
      </c>
      <c r="V26" s="2">
        <v>1072.0705</v>
      </c>
      <c r="W26" s="89">
        <f t="shared" si="0"/>
        <v>225453.08663345975</v>
      </c>
      <c r="X26" s="3"/>
      <c r="Y26" s="39">
        <v>3238.537323</v>
      </c>
      <c r="Z26" s="40"/>
      <c r="AA26" s="41">
        <v>0</v>
      </c>
      <c r="AB26" s="3"/>
      <c r="AC26" s="89">
        <f t="shared" si="3"/>
        <v>228691.62395645975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131733.1783</v>
      </c>
      <c r="C27" s="2">
        <v>14135.482784897873</v>
      </c>
      <c r="D27" s="89">
        <f t="shared" si="1"/>
        <v>145868.66108489787</v>
      </c>
      <c r="E27" s="2">
        <v>1.5751000000000002</v>
      </c>
      <c r="F27" s="89">
        <f t="shared" si="2"/>
        <v>145870.23618489786</v>
      </c>
      <c r="G27" s="2">
        <v>0</v>
      </c>
      <c r="H27" s="2">
        <v>0</v>
      </c>
      <c r="I27" s="2">
        <v>0</v>
      </c>
      <c r="J27" s="2">
        <v>2059.5556000000001</v>
      </c>
      <c r="K27" s="2">
        <v>0</v>
      </c>
      <c r="L27" s="2">
        <v>0</v>
      </c>
      <c r="M27" s="2">
        <v>0</v>
      </c>
      <c r="N27" s="2">
        <v>379.64420000000001</v>
      </c>
      <c r="O27" s="2">
        <v>642.78980000000001</v>
      </c>
      <c r="P27" s="2">
        <v>244.18856061617652</v>
      </c>
      <c r="Q27" s="2">
        <v>2963.6532999999999</v>
      </c>
      <c r="R27" s="2">
        <v>442.60797002473561</v>
      </c>
      <c r="S27" s="2">
        <v>0</v>
      </c>
      <c r="T27" s="2">
        <v>299.16405848448659</v>
      </c>
      <c r="U27" s="2">
        <v>2.2000000000000002</v>
      </c>
      <c r="V27" s="2">
        <v>723.85910000000001</v>
      </c>
      <c r="W27" s="89">
        <f t="shared" si="0"/>
        <v>153627.89877402328</v>
      </c>
      <c r="X27" s="3"/>
      <c r="Y27" s="39">
        <v>0</v>
      </c>
      <c r="Z27" s="40"/>
      <c r="AA27" s="41">
        <v>0</v>
      </c>
      <c r="AB27" s="3"/>
      <c r="AC27" s="89">
        <f t="shared" si="3"/>
        <v>153627.89877402328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93663.028999999995</v>
      </c>
      <c r="C28" s="2">
        <v>7408.9427010499649</v>
      </c>
      <c r="D28" s="89">
        <f t="shared" si="1"/>
        <v>101071.97170104996</v>
      </c>
      <c r="E28" s="2">
        <v>0.70829999999999993</v>
      </c>
      <c r="F28" s="89">
        <f t="shared" si="2"/>
        <v>101072.68000104996</v>
      </c>
      <c r="G28" s="2">
        <v>0</v>
      </c>
      <c r="H28" s="2">
        <v>0</v>
      </c>
      <c r="I28" s="2">
        <v>0</v>
      </c>
      <c r="J28" s="2">
        <v>1427.0601000000001</v>
      </c>
      <c r="K28" s="2">
        <v>128.9709</v>
      </c>
      <c r="L28" s="2">
        <v>0</v>
      </c>
      <c r="M28" s="2">
        <v>558.50360000000001</v>
      </c>
      <c r="N28" s="2">
        <v>263.06459999999998</v>
      </c>
      <c r="O28" s="2">
        <v>740.2251</v>
      </c>
      <c r="P28" s="2">
        <v>343.58704004036696</v>
      </c>
      <c r="Q28" s="2">
        <v>2598.2714000000001</v>
      </c>
      <c r="R28" s="2">
        <v>865.42799482427733</v>
      </c>
      <c r="S28" s="2">
        <v>0</v>
      </c>
      <c r="T28" s="2">
        <v>420.94065781791312</v>
      </c>
      <c r="U28" s="2">
        <v>3</v>
      </c>
      <c r="V28" s="2">
        <v>501.5795</v>
      </c>
      <c r="W28" s="89">
        <f t="shared" si="0"/>
        <v>108923.31089373252</v>
      </c>
      <c r="X28" s="3"/>
      <c r="Y28" s="39">
        <v>545.36107499999991</v>
      </c>
      <c r="Z28" s="40"/>
      <c r="AA28" s="41">
        <v>0</v>
      </c>
      <c r="AB28" s="3"/>
      <c r="AC28" s="89">
        <f t="shared" si="3"/>
        <v>109468.67196873251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516940.62580000004</v>
      </c>
      <c r="C29" s="2">
        <v>65315.679075045409</v>
      </c>
      <c r="D29" s="89">
        <f t="shared" si="1"/>
        <v>582256.30487504543</v>
      </c>
      <c r="E29" s="2">
        <v>11.290799999999999</v>
      </c>
      <c r="F29" s="89">
        <f t="shared" si="2"/>
        <v>582267.59567504539</v>
      </c>
      <c r="G29" s="2">
        <v>0</v>
      </c>
      <c r="H29" s="2">
        <v>0</v>
      </c>
      <c r="I29" s="2">
        <v>0</v>
      </c>
      <c r="J29" s="2">
        <v>8220.5802999999996</v>
      </c>
      <c r="K29" s="2">
        <v>1773.0896000000002</v>
      </c>
      <c r="L29" s="2">
        <v>2.17E-6</v>
      </c>
      <c r="M29" s="2">
        <v>7679.5155000000004</v>
      </c>
      <c r="N29" s="2">
        <v>1515.3581999999999</v>
      </c>
      <c r="O29" s="2">
        <v>3195.9852000000001</v>
      </c>
      <c r="P29" s="2">
        <v>216.4901803837792</v>
      </c>
      <c r="Q29" s="2">
        <v>4676.4139999999998</v>
      </c>
      <c r="R29" s="2">
        <v>322.06257294569218</v>
      </c>
      <c r="S29" s="2">
        <v>0</v>
      </c>
      <c r="T29" s="2">
        <v>265.22979133857507</v>
      </c>
      <c r="U29" s="2">
        <v>0.5</v>
      </c>
      <c r="V29" s="2">
        <v>2889.2318</v>
      </c>
      <c r="W29" s="89">
        <f t="shared" si="0"/>
        <v>613022.05282188335</v>
      </c>
      <c r="X29" s="3"/>
      <c r="Y29" s="39">
        <v>8164.8908879999999</v>
      </c>
      <c r="Z29" s="40"/>
      <c r="AA29" s="41">
        <v>0</v>
      </c>
      <c r="AB29" s="3"/>
      <c r="AC29" s="89">
        <f t="shared" si="3"/>
        <v>621186.94370988337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231480.38740000001</v>
      </c>
      <c r="C30" s="2">
        <v>32560.353449351165</v>
      </c>
      <c r="D30" s="89">
        <f t="shared" si="1"/>
        <v>264040.74084935116</v>
      </c>
      <c r="E30" s="2">
        <v>2.6333000000000002</v>
      </c>
      <c r="F30" s="89">
        <f t="shared" si="2"/>
        <v>264043.37414935115</v>
      </c>
      <c r="G30" s="2">
        <v>0</v>
      </c>
      <c r="H30" s="2">
        <v>0</v>
      </c>
      <c r="I30" s="2">
        <v>0</v>
      </c>
      <c r="J30" s="2">
        <v>3728.0563999999999</v>
      </c>
      <c r="K30" s="2">
        <v>0</v>
      </c>
      <c r="L30" s="2">
        <v>0</v>
      </c>
      <c r="M30" s="2">
        <v>0</v>
      </c>
      <c r="N30" s="2">
        <v>687.22249999999997</v>
      </c>
      <c r="O30" s="2">
        <v>1281.3804</v>
      </c>
      <c r="P30" s="2">
        <v>288.64982751517226</v>
      </c>
      <c r="Q30" s="2">
        <v>3491.4272000000001</v>
      </c>
      <c r="R30" s="2">
        <v>445.04393263328262</v>
      </c>
      <c r="S30" s="2">
        <v>0</v>
      </c>
      <c r="T30" s="2">
        <v>353.63513205420855</v>
      </c>
      <c r="U30" s="2">
        <v>2.2000000000000002</v>
      </c>
      <c r="V30" s="2">
        <v>1310.3118999999999</v>
      </c>
      <c r="W30" s="89">
        <f t="shared" si="0"/>
        <v>275631.30144155381</v>
      </c>
      <c r="X30" s="3"/>
      <c r="Y30" s="39">
        <v>8254.2523349999992</v>
      </c>
      <c r="Z30" s="40"/>
      <c r="AA30" s="41">
        <v>0</v>
      </c>
      <c r="AB30" s="3"/>
      <c r="AC30" s="89">
        <f t="shared" si="3"/>
        <v>283885.55377655383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263590.18709999998</v>
      </c>
      <c r="C31" s="2">
        <v>40456.726591259307</v>
      </c>
      <c r="D31" s="89">
        <f t="shared" si="1"/>
        <v>304046.91369125928</v>
      </c>
      <c r="E31" s="2">
        <v>4.6500000000000004</v>
      </c>
      <c r="F31" s="89">
        <f t="shared" si="2"/>
        <v>304051.5636912593</v>
      </c>
      <c r="G31" s="2">
        <v>0</v>
      </c>
      <c r="H31" s="2">
        <v>0</v>
      </c>
      <c r="I31" s="2">
        <v>0</v>
      </c>
      <c r="J31" s="2">
        <v>4292.9134000000004</v>
      </c>
      <c r="K31" s="2">
        <v>0</v>
      </c>
      <c r="L31" s="2">
        <v>0</v>
      </c>
      <c r="M31" s="2">
        <v>0</v>
      </c>
      <c r="N31" s="2">
        <v>791.34559999999999</v>
      </c>
      <c r="O31" s="2">
        <v>1100.4268</v>
      </c>
      <c r="P31" s="2">
        <v>222.32319286877865</v>
      </c>
      <c r="Q31" s="2">
        <v>3410.2312000000002</v>
      </c>
      <c r="R31" s="2">
        <v>544.71579520717739</v>
      </c>
      <c r="S31" s="2">
        <v>0</v>
      </c>
      <c r="T31" s="2">
        <v>272.37602169177694</v>
      </c>
      <c r="U31" s="2">
        <v>2.2000000000000002</v>
      </c>
      <c r="V31" s="2">
        <v>1508.8411000000001</v>
      </c>
      <c r="W31" s="89">
        <f t="shared" si="0"/>
        <v>316196.9368010271</v>
      </c>
      <c r="X31" s="3"/>
      <c r="Y31" s="39">
        <v>10024.542444000001</v>
      </c>
      <c r="Z31" s="40"/>
      <c r="AA31" s="41">
        <v>0</v>
      </c>
      <c r="AB31" s="3"/>
      <c r="AC31" s="89">
        <f t="shared" si="3"/>
        <v>326221.47924502712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75116.860700000005</v>
      </c>
      <c r="C32" s="2">
        <v>3704.4713505249824</v>
      </c>
      <c r="D32" s="89">
        <f t="shared" si="1"/>
        <v>78821.332050524987</v>
      </c>
      <c r="E32" s="2">
        <v>1</v>
      </c>
      <c r="F32" s="89">
        <f t="shared" si="2"/>
        <v>78822.332050524987</v>
      </c>
      <c r="G32" s="2">
        <v>0</v>
      </c>
      <c r="H32" s="2">
        <v>0</v>
      </c>
      <c r="I32" s="2">
        <v>0</v>
      </c>
      <c r="J32" s="2">
        <v>1112.8934999999999</v>
      </c>
      <c r="K32" s="2">
        <v>11.44</v>
      </c>
      <c r="L32" s="2">
        <v>0</v>
      </c>
      <c r="M32" s="2">
        <v>49.540300000000002</v>
      </c>
      <c r="N32" s="2">
        <v>205.15309999999999</v>
      </c>
      <c r="O32" s="2">
        <v>579.36890000000005</v>
      </c>
      <c r="P32" s="2">
        <v>252.67146664647569</v>
      </c>
      <c r="Q32" s="2">
        <v>2151.6934999999999</v>
      </c>
      <c r="R32" s="2">
        <v>309.81269574492137</v>
      </c>
      <c r="S32" s="2">
        <v>0</v>
      </c>
      <c r="T32" s="2">
        <v>309.55676723871034</v>
      </c>
      <c r="U32" s="2">
        <v>3</v>
      </c>
      <c r="V32" s="2">
        <v>391.16079999999999</v>
      </c>
      <c r="W32" s="89">
        <f t="shared" si="0"/>
        <v>84198.623080155085</v>
      </c>
      <c r="X32" s="3"/>
      <c r="Y32" s="39">
        <v>214.13709302999996</v>
      </c>
      <c r="Z32" s="40"/>
      <c r="AA32" s="43">
        <v>0</v>
      </c>
      <c r="AB32" s="3"/>
      <c r="AC32" s="89">
        <f t="shared" si="3"/>
        <v>84412.760173185088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5548853.6996999998</v>
      </c>
      <c r="C33" s="83">
        <f>SUM(C10:C32)</f>
        <v>923388.22716243367</v>
      </c>
      <c r="D33" s="83">
        <f>SUM(D10:D32)</f>
        <v>6472241.9268624336</v>
      </c>
      <c r="E33" s="83">
        <f t="shared" ref="E33:W33" si="4">SUM(E10:E32)</f>
        <v>107.0158</v>
      </c>
      <c r="F33" s="83">
        <f>SUM(F10:F32)</f>
        <v>6472348.9426624337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91382.644000000015</v>
      </c>
      <c r="K33" s="83">
        <f t="shared" si="4"/>
        <v>10668.188600000003</v>
      </c>
      <c r="L33" s="83">
        <f t="shared" si="4"/>
        <v>2.7099999999999999E-6</v>
      </c>
      <c r="M33" s="83">
        <f t="shared" si="4"/>
        <v>46199.503799999991</v>
      </c>
      <c r="N33" s="83">
        <f t="shared" si="4"/>
        <v>16845.153399999999</v>
      </c>
      <c r="O33" s="83">
        <f t="shared" si="4"/>
        <v>33700.279299999995</v>
      </c>
      <c r="P33" s="83">
        <f t="shared" si="4"/>
        <v>6243.8584000600013</v>
      </c>
      <c r="Q33" s="83">
        <f t="shared" si="4"/>
        <v>80260.722200000004</v>
      </c>
      <c r="R33" s="83">
        <f>SUM(R10:R32)</f>
        <v>11471.972249640001</v>
      </c>
      <c r="S33" s="83">
        <f t="shared" si="4"/>
        <v>0</v>
      </c>
      <c r="T33" s="83">
        <f t="shared" si="4"/>
        <v>7649.5721780800013</v>
      </c>
      <c r="U33" s="83">
        <f t="shared" si="4"/>
        <v>45.800000000000004</v>
      </c>
      <c r="V33" s="83">
        <f t="shared" si="4"/>
        <v>32118.197300000014</v>
      </c>
      <c r="W33" s="83">
        <f t="shared" si="4"/>
        <v>6808934.8340929225</v>
      </c>
      <c r="X33" s="48"/>
      <c r="Y33" s="95">
        <f>SUM(Y10:Y32)</f>
        <v>277387.37030303001</v>
      </c>
      <c r="Z33" s="40"/>
      <c r="AA33" s="101">
        <f>SUM(AA10:AA32)</f>
        <v>0</v>
      </c>
      <c r="AB33" s="6"/>
      <c r="AC33" s="93">
        <f>SUM(AC10:AC32)</f>
        <v>7086322.2043959545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105885.9028</v>
      </c>
      <c r="C34" s="2">
        <v>51758.761219282504</v>
      </c>
      <c r="D34" s="89">
        <f>B34+C34</f>
        <v>157644.6640192825</v>
      </c>
      <c r="E34" s="2">
        <v>0</v>
      </c>
      <c r="F34" s="89">
        <f>D34+E34</f>
        <v>157644.6640192825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1055.5478000000001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158700.2118192825</v>
      </c>
      <c r="X34" s="3"/>
      <c r="Y34" s="39"/>
      <c r="Z34" s="40"/>
      <c r="AA34" s="97">
        <v>0</v>
      </c>
      <c r="AB34" s="3"/>
      <c r="AC34" s="89">
        <f>+W34+Y34+AA34</f>
        <v>158700.2118192825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4531158.0583000006</v>
      </c>
      <c r="C36" s="2">
        <v>0</v>
      </c>
      <c r="D36" s="89">
        <f>B36+C36</f>
        <v>4531158.0583000006</v>
      </c>
      <c r="E36" s="2">
        <v>0</v>
      </c>
      <c r="F36" s="89">
        <f>D36+E36</f>
        <v>4531158.0583000006</v>
      </c>
      <c r="G36" s="2">
        <v>0</v>
      </c>
      <c r="H36" s="2">
        <v>0</v>
      </c>
      <c r="I36" s="2">
        <v>0</v>
      </c>
      <c r="J36" s="2">
        <v>66201.262900000002</v>
      </c>
      <c r="K36" s="2">
        <v>0</v>
      </c>
      <c r="L36" s="2">
        <v>0</v>
      </c>
      <c r="M36" s="2">
        <v>0</v>
      </c>
      <c r="N36" s="2">
        <v>0</v>
      </c>
      <c r="O36" s="2">
        <v>56034.386200000001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4653393.7074000007</v>
      </c>
      <c r="X36" s="3"/>
      <c r="Y36" s="39">
        <f>-SUM(Y33)</f>
        <v>-277387.37030303001</v>
      </c>
      <c r="Z36" s="40"/>
      <c r="AA36" s="41">
        <f>-(AA33+AA34)</f>
        <v>0</v>
      </c>
      <c r="AB36" s="3"/>
      <c r="AC36" s="89">
        <f>+W36+Y36+AA36</f>
        <v>4376006.3370969705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688477.62829999998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74787.6633</v>
      </c>
      <c r="W37" s="89">
        <f>SUM(F37:V37)</f>
        <v>763265.2916</v>
      </c>
      <c r="X37" s="3"/>
      <c r="Y37" s="39"/>
      <c r="Z37" s="40"/>
      <c r="AA37" s="41"/>
      <c r="AB37" s="3"/>
      <c r="AC37" s="89">
        <f t="shared" si="3"/>
        <v>763265.2916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112603.3315</v>
      </c>
      <c r="C38" s="37">
        <v>0</v>
      </c>
      <c r="D38" s="89">
        <f>B38+C38</f>
        <v>112603.3315</v>
      </c>
      <c r="E38" s="37">
        <v>0</v>
      </c>
      <c r="F38" s="89">
        <f>D38+E38</f>
        <v>112603.3315</v>
      </c>
      <c r="G38" s="37">
        <v>0</v>
      </c>
      <c r="H38" s="37">
        <v>0</v>
      </c>
      <c r="I38" s="37">
        <v>0</v>
      </c>
      <c r="J38" s="37">
        <v>1589.8478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114193.1793</v>
      </c>
      <c r="X38" s="3"/>
      <c r="Y38" s="42"/>
      <c r="Z38" s="40"/>
      <c r="AA38" s="43"/>
      <c r="AB38" s="3"/>
      <c r="AC38" s="90">
        <f t="shared" si="3"/>
        <v>114193.1793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10298546.792299999</v>
      </c>
      <c r="C39" s="85">
        <f>+SUM(C33:C38)</f>
        <v>975146.98838171619</v>
      </c>
      <c r="D39" s="85">
        <f>+SUM(D33:D38)</f>
        <v>11273693.780681716</v>
      </c>
      <c r="E39" s="85">
        <f t="shared" ref="E39:V39" si="5">+SUM(E33:E38)</f>
        <v>107.0158</v>
      </c>
      <c r="F39" s="85">
        <f>SUM(F33:F38)</f>
        <v>11273800.796481716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159173.75469999999</v>
      </c>
      <c r="K39" s="85">
        <f t="shared" si="5"/>
        <v>10668.188600000003</v>
      </c>
      <c r="L39" s="85">
        <f t="shared" si="5"/>
        <v>2.7099999999999999E-6</v>
      </c>
      <c r="M39" s="85">
        <f t="shared" si="5"/>
        <v>734677.13209999993</v>
      </c>
      <c r="N39" s="85">
        <f t="shared" si="5"/>
        <v>16845.153399999999</v>
      </c>
      <c r="O39" s="85">
        <f t="shared" si="5"/>
        <v>89734.665500000003</v>
      </c>
      <c r="P39" s="85">
        <f t="shared" si="5"/>
        <v>6243.8584000600013</v>
      </c>
      <c r="Q39" s="85">
        <f t="shared" si="5"/>
        <v>81316.27</v>
      </c>
      <c r="R39" s="85">
        <f t="shared" si="5"/>
        <v>11471.972249640001</v>
      </c>
      <c r="S39" s="85">
        <f t="shared" si="5"/>
        <v>0</v>
      </c>
      <c r="T39" s="85">
        <f t="shared" si="5"/>
        <v>7649.5721780800013</v>
      </c>
      <c r="U39" s="85">
        <f t="shared" si="5"/>
        <v>45.800000000000004</v>
      </c>
      <c r="V39" s="85">
        <f t="shared" si="5"/>
        <v>106905.86060000001</v>
      </c>
      <c r="W39" s="85">
        <f>+SUM(W33:W38)</f>
        <v>12498487.224212207</v>
      </c>
      <c r="X39" s="47"/>
      <c r="Y39" s="46">
        <f>+SUM(Y33:Y38)</f>
        <v>0</v>
      </c>
      <c r="Z39" s="49"/>
      <c r="AA39" s="102"/>
      <c r="AB39" s="7"/>
      <c r="AC39" s="94">
        <f>+SUM(AC33:AC38)</f>
        <v>12498487.224212209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5005097.6069999998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5942922.5381000005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271993.45199999999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144.447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16598.499800000001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23622.403200000001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13421.849381715774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11273800.796481717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11273754.996481717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3 W33 F39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4837-D07E-4892-9DAE-231EEE4F4560}">
  <sheetPr>
    <pageSetUpPr fitToPage="1"/>
  </sheetPr>
  <dimension ref="A1:AZ77"/>
  <sheetViews>
    <sheetView showGridLines="0" showZeros="0" topLeftCell="J1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1023190.4251</v>
      </c>
      <c r="C10" s="2">
        <v>306756.22411364573</v>
      </c>
      <c r="D10" s="89">
        <f>B10+C10</f>
        <v>1329946.6492136456</v>
      </c>
      <c r="E10" s="2">
        <v>35.008399999999995</v>
      </c>
      <c r="F10" s="89">
        <f>D10+E10</f>
        <v>1329981.6576136455</v>
      </c>
      <c r="G10" s="2">
        <v>0</v>
      </c>
      <c r="H10" s="2">
        <v>0</v>
      </c>
      <c r="I10" s="2">
        <v>0</v>
      </c>
      <c r="J10" s="2">
        <v>15967.293</v>
      </c>
      <c r="K10" s="2">
        <v>3801.3457999999996</v>
      </c>
      <c r="L10" s="2">
        <v>0.14105645</v>
      </c>
      <c r="M10" s="2">
        <v>19859.5298</v>
      </c>
      <c r="N10" s="2">
        <v>3981.4935</v>
      </c>
      <c r="O10" s="2">
        <v>8575.9278000000013</v>
      </c>
      <c r="P10" s="2">
        <v>0</v>
      </c>
      <c r="Q10" s="2">
        <v>12833.14</v>
      </c>
      <c r="R10" s="2">
        <v>0</v>
      </c>
      <c r="S10" s="2">
        <v>0</v>
      </c>
      <c r="T10" s="2">
        <v>0</v>
      </c>
      <c r="U10" s="2">
        <v>0</v>
      </c>
      <c r="V10" s="2">
        <v>8199.6429000000007</v>
      </c>
      <c r="W10" s="89">
        <f t="shared" ref="W10:W32" si="0">SUM(F10:V10)</f>
        <v>1403200.1714700956</v>
      </c>
      <c r="X10" s="3"/>
      <c r="Y10" s="39">
        <v>150937.30452000001</v>
      </c>
      <c r="Z10" s="40"/>
      <c r="AA10" s="97">
        <v>0</v>
      </c>
      <c r="AB10" s="3"/>
      <c r="AC10" s="89">
        <f>+W10+Y10+AA10</f>
        <v>1554137.4759900956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152510.5049</v>
      </c>
      <c r="C11" s="2">
        <v>14297.959598517455</v>
      </c>
      <c r="D11" s="89">
        <f t="shared" ref="D11:D32" si="1">B11+C11</f>
        <v>166808.46449851745</v>
      </c>
      <c r="E11" s="2">
        <v>1.7832999999999999</v>
      </c>
      <c r="F11" s="89">
        <f t="shared" ref="F11:F32" si="2">D11+E11</f>
        <v>166810.24779851746</v>
      </c>
      <c r="G11" s="2">
        <v>0</v>
      </c>
      <c r="H11" s="2">
        <v>0</v>
      </c>
      <c r="I11" s="2">
        <v>0</v>
      </c>
      <c r="J11" s="2">
        <v>2002.6966</v>
      </c>
      <c r="K11" s="2">
        <v>0</v>
      </c>
      <c r="L11" s="2">
        <v>1.0556989999999999E-2</v>
      </c>
      <c r="M11" s="2">
        <v>0</v>
      </c>
      <c r="N11" s="2">
        <v>499.38620000000003</v>
      </c>
      <c r="O11" s="2">
        <v>880.38669999999991</v>
      </c>
      <c r="P11" s="2">
        <v>0</v>
      </c>
      <c r="Q11" s="2">
        <v>1858.5926999999999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1028.4554000000001</v>
      </c>
      <c r="W11" s="89">
        <f t="shared" si="0"/>
        <v>173081.97595550749</v>
      </c>
      <c r="X11" s="3"/>
      <c r="Y11" s="39">
        <v>1300.4655400000001</v>
      </c>
      <c r="Z11" s="40"/>
      <c r="AA11" s="41">
        <v>0</v>
      </c>
      <c r="AB11" s="3"/>
      <c r="AC11" s="89">
        <f t="shared" ref="AC11:AC38" si="3">+W11+Y11+AA11</f>
        <v>174382.44149550749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472019.685</v>
      </c>
      <c r="C12" s="2">
        <v>65733.476595781249</v>
      </c>
      <c r="D12" s="89">
        <f t="shared" si="1"/>
        <v>537753.16159578122</v>
      </c>
      <c r="E12" s="2">
        <v>10.441700000000001</v>
      </c>
      <c r="F12" s="89">
        <f>D12+E12</f>
        <v>537763.60329578118</v>
      </c>
      <c r="G12" s="2">
        <v>0</v>
      </c>
      <c r="H12" s="2">
        <v>0</v>
      </c>
      <c r="I12" s="2">
        <v>0</v>
      </c>
      <c r="J12" s="2">
        <v>6456.2457000000004</v>
      </c>
      <c r="K12" s="2">
        <v>1298.1759</v>
      </c>
      <c r="L12" s="2">
        <v>3.9045859999999995E-2</v>
      </c>
      <c r="M12" s="2">
        <v>6782.1145999999999</v>
      </c>
      <c r="N12" s="2">
        <v>1609.8947000000001</v>
      </c>
      <c r="O12" s="2">
        <v>3853.8310000000001</v>
      </c>
      <c r="P12" s="2">
        <v>0</v>
      </c>
      <c r="Q12" s="2">
        <v>5000.4994000000006</v>
      </c>
      <c r="R12" s="2">
        <v>0</v>
      </c>
      <c r="S12" s="2">
        <v>0</v>
      </c>
      <c r="T12" s="2">
        <v>0</v>
      </c>
      <c r="U12" s="2">
        <v>0.5</v>
      </c>
      <c r="V12" s="2">
        <v>3315.4798999999998</v>
      </c>
      <c r="W12" s="89">
        <f t="shared" si="0"/>
        <v>566080.38354164106</v>
      </c>
      <c r="X12" s="3"/>
      <c r="Y12" s="39">
        <v>6921.65852</v>
      </c>
      <c r="Z12" s="40"/>
      <c r="AA12" s="41">
        <v>0</v>
      </c>
      <c r="AB12" s="3"/>
      <c r="AC12" s="89">
        <f t="shared" si="3"/>
        <v>573002.04206164111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195237.36869999999</v>
      </c>
      <c r="C13" s="2">
        <v>29895.733705990602</v>
      </c>
      <c r="D13" s="89">
        <f t="shared" si="1"/>
        <v>225133.10240599059</v>
      </c>
      <c r="E13" s="2">
        <v>3.2166999999999999</v>
      </c>
      <c r="F13" s="89">
        <f t="shared" si="2"/>
        <v>225136.31910599058</v>
      </c>
      <c r="G13" s="2">
        <v>0</v>
      </c>
      <c r="H13" s="2">
        <v>0</v>
      </c>
      <c r="I13" s="2">
        <v>0</v>
      </c>
      <c r="J13" s="2">
        <v>2702.9402</v>
      </c>
      <c r="K13" s="2">
        <v>415.09649999999999</v>
      </c>
      <c r="L13" s="2">
        <v>1.7511160000000001E-2</v>
      </c>
      <c r="M13" s="2">
        <v>2168.6060000000002</v>
      </c>
      <c r="N13" s="2">
        <v>673.98990000000003</v>
      </c>
      <c r="O13" s="2">
        <v>1135.1858</v>
      </c>
      <c r="P13" s="2">
        <v>0</v>
      </c>
      <c r="Q13" s="2">
        <v>4380.9684999999999</v>
      </c>
      <c r="R13" s="2">
        <v>0</v>
      </c>
      <c r="S13" s="2">
        <v>0</v>
      </c>
      <c r="T13" s="2">
        <v>0</v>
      </c>
      <c r="U13" s="2">
        <v>1.5</v>
      </c>
      <c r="V13" s="2">
        <v>1388.0411999999999</v>
      </c>
      <c r="W13" s="89">
        <f t="shared" si="0"/>
        <v>238002.66471715059</v>
      </c>
      <c r="X13" s="3"/>
      <c r="Y13" s="39">
        <v>7924.2993200000001</v>
      </c>
      <c r="Z13" s="40"/>
      <c r="AA13" s="41">
        <v>0</v>
      </c>
      <c r="AB13" s="3"/>
      <c r="AC13" s="89">
        <f t="shared" si="3"/>
        <v>245926.96403715058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267769.38380000001</v>
      </c>
      <c r="C14" s="2">
        <v>34352.240593840332</v>
      </c>
      <c r="D14" s="89">
        <f t="shared" si="1"/>
        <v>302121.62439384032</v>
      </c>
      <c r="E14" s="2">
        <v>2.8</v>
      </c>
      <c r="F14" s="89">
        <f t="shared" si="2"/>
        <v>302124.42439384031</v>
      </c>
      <c r="G14" s="2">
        <v>0</v>
      </c>
      <c r="H14" s="2">
        <v>0</v>
      </c>
      <c r="I14" s="2">
        <v>0</v>
      </c>
      <c r="J14" s="2">
        <v>3627.2617</v>
      </c>
      <c r="K14" s="2">
        <v>326.33629999999999</v>
      </c>
      <c r="L14" s="2">
        <v>2.2879119999999999E-2</v>
      </c>
      <c r="M14" s="2">
        <v>1704.8926000000001</v>
      </c>
      <c r="N14" s="2">
        <v>904.48009999999999</v>
      </c>
      <c r="O14" s="2">
        <v>1149.0693999999999</v>
      </c>
      <c r="P14" s="2">
        <v>0</v>
      </c>
      <c r="Q14" s="2">
        <v>4071.203</v>
      </c>
      <c r="R14" s="2">
        <v>0</v>
      </c>
      <c r="S14" s="2">
        <v>0</v>
      </c>
      <c r="T14" s="2">
        <v>0</v>
      </c>
      <c r="U14" s="2">
        <v>0.5</v>
      </c>
      <c r="V14" s="2">
        <v>1862.7216000000001</v>
      </c>
      <c r="W14" s="89">
        <f t="shared" si="0"/>
        <v>315770.91197296028</v>
      </c>
      <c r="X14" s="3"/>
      <c r="Y14" s="39">
        <v>9706.1050999999989</v>
      </c>
      <c r="Z14" s="40"/>
      <c r="AA14" s="41">
        <v>0</v>
      </c>
      <c r="AB14" s="3"/>
      <c r="AC14" s="89">
        <f t="shared" si="3"/>
        <v>325477.01707296027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81852.160199999998</v>
      </c>
      <c r="C15" s="2">
        <v>13926.58402453003</v>
      </c>
      <c r="D15" s="89">
        <f t="shared" si="1"/>
        <v>95778.744224530034</v>
      </c>
      <c r="E15" s="2">
        <v>2.0167000000000002</v>
      </c>
      <c r="F15" s="89">
        <f t="shared" si="2"/>
        <v>95780.760924530026</v>
      </c>
      <c r="G15" s="2">
        <v>0</v>
      </c>
      <c r="H15" s="2">
        <v>0</v>
      </c>
      <c r="I15" s="2">
        <v>0</v>
      </c>
      <c r="J15" s="2">
        <v>1149.9163000000001</v>
      </c>
      <c r="K15" s="2">
        <v>127.6567</v>
      </c>
      <c r="L15" s="2">
        <v>1.056182E-2</v>
      </c>
      <c r="M15" s="2">
        <v>666.92200000000003</v>
      </c>
      <c r="N15" s="2">
        <v>286.74299999999999</v>
      </c>
      <c r="O15" s="2">
        <v>1002.3271</v>
      </c>
      <c r="P15" s="2">
        <v>0</v>
      </c>
      <c r="Q15" s="2">
        <v>2832.1412</v>
      </c>
      <c r="R15" s="2">
        <v>0</v>
      </c>
      <c r="S15" s="2">
        <v>0</v>
      </c>
      <c r="T15" s="2">
        <v>0</v>
      </c>
      <c r="U15" s="2">
        <v>3</v>
      </c>
      <c r="V15" s="2">
        <v>590.52980000000002</v>
      </c>
      <c r="W15" s="89">
        <f t="shared" si="0"/>
        <v>102440.00758635004</v>
      </c>
      <c r="X15" s="3"/>
      <c r="Y15" s="39">
        <v>1901.5315000000001</v>
      </c>
      <c r="Z15" s="40"/>
      <c r="AA15" s="41">
        <v>0</v>
      </c>
      <c r="AB15" s="3"/>
      <c r="AC15" s="89">
        <f t="shared" si="3"/>
        <v>104341.53908635004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266645.77559999999</v>
      </c>
      <c r="C16" s="2">
        <v>29060.138664519043</v>
      </c>
      <c r="D16" s="89">
        <f t="shared" si="1"/>
        <v>295705.91426451906</v>
      </c>
      <c r="E16" s="2">
        <v>5.6249000000000002</v>
      </c>
      <c r="F16" s="89">
        <f t="shared" si="2"/>
        <v>295711.53916451905</v>
      </c>
      <c r="G16" s="2">
        <v>0</v>
      </c>
      <c r="H16" s="2">
        <v>0</v>
      </c>
      <c r="I16" s="2">
        <v>0</v>
      </c>
      <c r="J16" s="2">
        <v>3550.2348999999999</v>
      </c>
      <c r="K16" s="2">
        <v>563.37980000000005</v>
      </c>
      <c r="L16" s="2">
        <v>1.8125330000000002E-2</v>
      </c>
      <c r="M16" s="2">
        <v>2943.2884000000004</v>
      </c>
      <c r="N16" s="2">
        <v>885.25890000000004</v>
      </c>
      <c r="O16" s="2">
        <v>1446.7478000000001</v>
      </c>
      <c r="P16" s="2">
        <v>0</v>
      </c>
      <c r="Q16" s="2">
        <v>3451.6721000000002</v>
      </c>
      <c r="R16" s="2">
        <v>0</v>
      </c>
      <c r="S16" s="2">
        <v>0</v>
      </c>
      <c r="T16" s="2">
        <v>0</v>
      </c>
      <c r="U16" s="2">
        <v>1.8</v>
      </c>
      <c r="V16" s="2">
        <v>1823.1366</v>
      </c>
      <c r="W16" s="89">
        <f t="shared" si="0"/>
        <v>310377.0757898491</v>
      </c>
      <c r="X16" s="3"/>
      <c r="Y16" s="39">
        <v>4701.8743800000002</v>
      </c>
      <c r="Z16" s="40"/>
      <c r="AA16" s="41">
        <v>0</v>
      </c>
      <c r="AB16" s="3"/>
      <c r="AC16" s="89">
        <f t="shared" si="3"/>
        <v>315078.95016984909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200877.0698</v>
      </c>
      <c r="C17" s="2">
        <v>19590.06152783876</v>
      </c>
      <c r="D17" s="89">
        <f t="shared" si="1"/>
        <v>220467.13132783875</v>
      </c>
      <c r="E17" s="2">
        <v>1.7251000000000001</v>
      </c>
      <c r="F17" s="89">
        <f t="shared" si="2"/>
        <v>220468.85642783876</v>
      </c>
      <c r="G17" s="2">
        <v>0</v>
      </c>
      <c r="H17" s="2">
        <v>0</v>
      </c>
      <c r="I17" s="2">
        <v>0</v>
      </c>
      <c r="J17" s="2">
        <v>2646.9207000000001</v>
      </c>
      <c r="K17" s="2">
        <v>152.01379999999997</v>
      </c>
      <c r="L17" s="2">
        <v>1.2331799999999999E-2</v>
      </c>
      <c r="M17" s="2">
        <v>794.17219999999998</v>
      </c>
      <c r="N17" s="2">
        <v>660.02750000000003</v>
      </c>
      <c r="O17" s="2">
        <v>774.20510000000002</v>
      </c>
      <c r="P17" s="2">
        <v>0</v>
      </c>
      <c r="Q17" s="2">
        <v>3540.1766000000002</v>
      </c>
      <c r="R17" s="2">
        <v>0</v>
      </c>
      <c r="S17" s="2">
        <v>0</v>
      </c>
      <c r="T17" s="2">
        <v>0</v>
      </c>
      <c r="U17" s="2">
        <v>2.2000000000000002</v>
      </c>
      <c r="V17" s="2">
        <v>1359.2864</v>
      </c>
      <c r="W17" s="89">
        <f t="shared" si="0"/>
        <v>230397.87105963877</v>
      </c>
      <c r="X17" s="3"/>
      <c r="Y17" s="39">
        <v>4886.3143399999999</v>
      </c>
      <c r="Z17" s="40"/>
      <c r="AA17" s="41">
        <v>0</v>
      </c>
      <c r="AB17" s="3"/>
      <c r="AC17" s="89">
        <f t="shared" si="3"/>
        <v>235284.18539963878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153210.37150000001</v>
      </c>
      <c r="C18" s="2">
        <v>18847.310379863877</v>
      </c>
      <c r="D18" s="89">
        <f t="shared" si="1"/>
        <v>172057.6818798639</v>
      </c>
      <c r="E18" s="2">
        <v>2.7749999999999999</v>
      </c>
      <c r="F18" s="89">
        <f t="shared" si="2"/>
        <v>172060.45687986389</v>
      </c>
      <c r="G18" s="2">
        <v>0</v>
      </c>
      <c r="H18" s="2">
        <v>0</v>
      </c>
      <c r="I18" s="2">
        <v>0</v>
      </c>
      <c r="J18" s="2">
        <v>2065.7184999999999</v>
      </c>
      <c r="K18" s="2">
        <v>0</v>
      </c>
      <c r="L18" s="2">
        <v>1.1234030000000001E-2</v>
      </c>
      <c r="M18" s="2">
        <v>0</v>
      </c>
      <c r="N18" s="2">
        <v>515.08929999999998</v>
      </c>
      <c r="O18" s="2">
        <v>860.5761</v>
      </c>
      <c r="P18" s="2">
        <v>0</v>
      </c>
      <c r="Q18" s="2">
        <v>2655.1324</v>
      </c>
      <c r="R18" s="2">
        <v>0</v>
      </c>
      <c r="S18" s="2">
        <v>0</v>
      </c>
      <c r="T18" s="2">
        <v>0</v>
      </c>
      <c r="U18" s="2">
        <v>2.2000000000000002</v>
      </c>
      <c r="V18" s="2">
        <v>1060.7951</v>
      </c>
      <c r="W18" s="89">
        <f t="shared" si="0"/>
        <v>179219.97951389389</v>
      </c>
      <c r="X18" s="3"/>
      <c r="Y18" s="39">
        <v>4668.5204000000003</v>
      </c>
      <c r="Z18" s="40"/>
      <c r="AA18" s="41">
        <v>0</v>
      </c>
      <c r="AB18" s="3"/>
      <c r="AC18" s="89">
        <f t="shared" si="3"/>
        <v>183888.4999138939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106096.6572</v>
      </c>
      <c r="C19" s="2">
        <v>9841.4527106677997</v>
      </c>
      <c r="D19" s="89">
        <f t="shared" si="1"/>
        <v>115938.1099106678</v>
      </c>
      <c r="E19" s="2">
        <v>1.6</v>
      </c>
      <c r="F19" s="89">
        <f t="shared" si="2"/>
        <v>115939.70991066781</v>
      </c>
      <c r="G19" s="2">
        <v>0</v>
      </c>
      <c r="H19" s="2">
        <v>0</v>
      </c>
      <c r="I19" s="2">
        <v>0</v>
      </c>
      <c r="J19" s="2">
        <v>1391.9275</v>
      </c>
      <c r="K19" s="2">
        <v>112.09989999999999</v>
      </c>
      <c r="L19" s="2">
        <v>9.4946699999999985E-3</v>
      </c>
      <c r="M19" s="2">
        <v>585.74300000000005</v>
      </c>
      <c r="N19" s="2">
        <v>347.18129999999996</v>
      </c>
      <c r="O19" s="2">
        <v>1086.5236</v>
      </c>
      <c r="P19" s="2">
        <v>0</v>
      </c>
      <c r="Q19" s="2">
        <v>1804.8976</v>
      </c>
      <c r="R19" s="2">
        <v>0</v>
      </c>
      <c r="S19" s="2">
        <v>0</v>
      </c>
      <c r="T19" s="2">
        <v>0</v>
      </c>
      <c r="U19" s="2">
        <v>2.5</v>
      </c>
      <c r="V19" s="2">
        <v>714.81590000000006</v>
      </c>
      <c r="W19" s="89">
        <f t="shared" si="0"/>
        <v>121985.40820533781</v>
      </c>
      <c r="X19" s="3"/>
      <c r="Y19" s="39">
        <v>0</v>
      </c>
      <c r="Z19" s="40"/>
      <c r="AA19" s="41">
        <v>0</v>
      </c>
      <c r="AB19" s="3"/>
      <c r="AC19" s="89">
        <f t="shared" si="3"/>
        <v>121985.40820533781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114256.7043</v>
      </c>
      <c r="C20" s="2">
        <v>11141.267219624024</v>
      </c>
      <c r="D20" s="89">
        <f t="shared" si="1"/>
        <v>125397.97151962403</v>
      </c>
      <c r="E20" s="2">
        <v>1.6916</v>
      </c>
      <c r="F20" s="89">
        <f t="shared" si="2"/>
        <v>125399.66311962403</v>
      </c>
      <c r="G20" s="2">
        <v>0</v>
      </c>
      <c r="H20" s="2">
        <v>0</v>
      </c>
      <c r="I20" s="2">
        <v>0</v>
      </c>
      <c r="J20" s="2">
        <v>1505.5237</v>
      </c>
      <c r="K20" s="2">
        <v>0</v>
      </c>
      <c r="L20" s="2">
        <v>9.0626599999999984E-3</v>
      </c>
      <c r="M20" s="2">
        <v>0</v>
      </c>
      <c r="N20" s="2">
        <v>375.41</v>
      </c>
      <c r="O20" s="2">
        <v>671.23890000000006</v>
      </c>
      <c r="P20" s="2">
        <v>0</v>
      </c>
      <c r="Q20" s="2">
        <v>1770.0883000000001</v>
      </c>
      <c r="R20" s="2">
        <v>0</v>
      </c>
      <c r="S20" s="2">
        <v>0</v>
      </c>
      <c r="T20" s="2">
        <v>0</v>
      </c>
      <c r="U20" s="2">
        <v>2.2000000000000002</v>
      </c>
      <c r="V20" s="2">
        <v>773.13400000000001</v>
      </c>
      <c r="W20" s="89">
        <f t="shared" si="0"/>
        <v>130497.26708228404</v>
      </c>
      <c r="X20" s="3"/>
      <c r="Y20" s="39">
        <v>1561.33916</v>
      </c>
      <c r="Z20" s="40"/>
      <c r="AA20" s="41">
        <v>0</v>
      </c>
      <c r="AB20" s="3"/>
      <c r="AC20" s="89">
        <f t="shared" si="3"/>
        <v>132058.60624228403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210023.179</v>
      </c>
      <c r="C21" s="2">
        <v>42522.503221564941</v>
      </c>
      <c r="D21" s="89">
        <f t="shared" si="1"/>
        <v>252545.68222156493</v>
      </c>
      <c r="E21" s="2">
        <v>5.1416000000000004</v>
      </c>
      <c r="F21" s="89">
        <f t="shared" si="2"/>
        <v>252550.82382156493</v>
      </c>
      <c r="G21" s="2">
        <v>0</v>
      </c>
      <c r="H21" s="2">
        <v>0</v>
      </c>
      <c r="I21" s="2">
        <v>0</v>
      </c>
      <c r="J21" s="2">
        <v>3032.0545999999999</v>
      </c>
      <c r="K21" s="2">
        <v>0</v>
      </c>
      <c r="L21" s="2">
        <v>1.9247279999999999E-2</v>
      </c>
      <c r="M21" s="2">
        <v>0</v>
      </c>
      <c r="N21" s="2">
        <v>756.06050000000005</v>
      </c>
      <c r="O21" s="2">
        <v>1571.9124999999999</v>
      </c>
      <c r="P21" s="2">
        <v>0</v>
      </c>
      <c r="Q21" s="2">
        <v>3540.1766000000002</v>
      </c>
      <c r="R21" s="2">
        <v>0</v>
      </c>
      <c r="S21" s="2">
        <v>0</v>
      </c>
      <c r="T21" s="2">
        <v>0</v>
      </c>
      <c r="U21" s="2">
        <v>2.2000000000000002</v>
      </c>
      <c r="V21" s="2">
        <v>1557.0603999999998</v>
      </c>
      <c r="W21" s="89">
        <f t="shared" si="0"/>
        <v>263010.30766884494</v>
      </c>
      <c r="X21" s="3"/>
      <c r="Y21" s="39">
        <v>6843.5868</v>
      </c>
      <c r="Z21" s="40"/>
      <c r="AA21" s="41">
        <v>0</v>
      </c>
      <c r="AB21" s="3"/>
      <c r="AC21" s="89">
        <f t="shared" si="3"/>
        <v>269853.89446884493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163565.8579</v>
      </c>
      <c r="C22" s="2">
        <v>36487.650144268184</v>
      </c>
      <c r="D22" s="89">
        <f t="shared" si="1"/>
        <v>200053.50804426818</v>
      </c>
      <c r="E22" s="2">
        <v>2.8416999999999999</v>
      </c>
      <c r="F22" s="89">
        <f t="shared" si="2"/>
        <v>200056.34974426817</v>
      </c>
      <c r="G22" s="2">
        <v>0</v>
      </c>
      <c r="H22" s="2">
        <v>0</v>
      </c>
      <c r="I22" s="2">
        <v>0</v>
      </c>
      <c r="J22" s="2">
        <v>2401.8353999999999</v>
      </c>
      <c r="K22" s="2">
        <v>178.21970000000002</v>
      </c>
      <c r="L22" s="2">
        <v>1.434358E-2</v>
      </c>
      <c r="M22" s="2">
        <v>931.0806</v>
      </c>
      <c r="N22" s="2">
        <v>598.90059999999994</v>
      </c>
      <c r="O22" s="2">
        <v>1050.7829999999999</v>
      </c>
      <c r="P22" s="2">
        <v>0</v>
      </c>
      <c r="Q22" s="2">
        <v>4159.7075000000004</v>
      </c>
      <c r="R22" s="2">
        <v>0</v>
      </c>
      <c r="S22" s="2">
        <v>0</v>
      </c>
      <c r="T22" s="2">
        <v>0</v>
      </c>
      <c r="U22" s="2">
        <v>2.2000000000000002</v>
      </c>
      <c r="V22" s="2">
        <v>1233.3993</v>
      </c>
      <c r="W22" s="89">
        <f t="shared" si="0"/>
        <v>210612.49018784813</v>
      </c>
      <c r="X22" s="3"/>
      <c r="Y22" s="39">
        <v>8851.4269999999997</v>
      </c>
      <c r="Z22" s="40"/>
      <c r="AA22" s="41">
        <v>0</v>
      </c>
      <c r="AB22" s="3"/>
      <c r="AC22" s="89">
        <f t="shared" si="3"/>
        <v>219463.91718784813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89327.224400000006</v>
      </c>
      <c r="C23" s="2">
        <v>15783.461894467164</v>
      </c>
      <c r="D23" s="89">
        <f t="shared" si="1"/>
        <v>105110.68629446717</v>
      </c>
      <c r="E23" s="2">
        <v>1.4499</v>
      </c>
      <c r="F23" s="89">
        <f t="shared" si="2"/>
        <v>105112.13619446718</v>
      </c>
      <c r="G23" s="2">
        <v>0</v>
      </c>
      <c r="H23" s="2">
        <v>0</v>
      </c>
      <c r="I23" s="2">
        <v>0</v>
      </c>
      <c r="J23" s="2">
        <v>1261.9551999999999</v>
      </c>
      <c r="K23" s="2">
        <v>80.150399999999991</v>
      </c>
      <c r="L23" s="2">
        <v>1.2694499999999999E-2</v>
      </c>
      <c r="M23" s="2">
        <v>418.733</v>
      </c>
      <c r="N23" s="2">
        <v>314.66790000000003</v>
      </c>
      <c r="O23" s="2">
        <v>1336.681</v>
      </c>
      <c r="P23" s="2">
        <v>0</v>
      </c>
      <c r="Q23" s="2">
        <v>3805.6897999999997</v>
      </c>
      <c r="R23" s="2">
        <v>0</v>
      </c>
      <c r="S23" s="2">
        <v>0</v>
      </c>
      <c r="T23" s="2">
        <v>0</v>
      </c>
      <c r="U23" s="2">
        <v>2.5</v>
      </c>
      <c r="V23" s="2">
        <v>648.03930000000003</v>
      </c>
      <c r="W23" s="89">
        <f t="shared" si="0"/>
        <v>112980.56548896716</v>
      </c>
      <c r="X23" s="3"/>
      <c r="Y23" s="39">
        <v>2524.5866000000001</v>
      </c>
      <c r="Z23" s="40"/>
      <c r="AA23" s="41">
        <v>0</v>
      </c>
      <c r="AB23" s="3"/>
      <c r="AC23" s="89">
        <f t="shared" si="3"/>
        <v>115505.15208896715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135820.11880000003</v>
      </c>
      <c r="C24" s="2">
        <v>16990.432509926453</v>
      </c>
      <c r="D24" s="89">
        <f t="shared" si="1"/>
        <v>152810.55130992649</v>
      </c>
      <c r="E24" s="2">
        <v>1.2167000000000001</v>
      </c>
      <c r="F24" s="89">
        <f t="shared" si="2"/>
        <v>152811.76800992648</v>
      </c>
      <c r="G24" s="2">
        <v>0</v>
      </c>
      <c r="H24" s="2">
        <v>0</v>
      </c>
      <c r="I24" s="2">
        <v>0</v>
      </c>
      <c r="J24" s="2">
        <v>1834.6381000000001</v>
      </c>
      <c r="K24" s="2">
        <v>0</v>
      </c>
      <c r="L24" s="2">
        <v>1.4711110000000001E-2</v>
      </c>
      <c r="M24" s="2">
        <v>0</v>
      </c>
      <c r="N24" s="2">
        <v>457.48050000000001</v>
      </c>
      <c r="O24" s="2">
        <v>1012.9476999999999</v>
      </c>
      <c r="P24" s="2">
        <v>0</v>
      </c>
      <c r="Q24" s="2">
        <v>3982.6986000000002</v>
      </c>
      <c r="R24" s="2">
        <v>0</v>
      </c>
      <c r="S24" s="2">
        <v>0</v>
      </c>
      <c r="T24" s="2">
        <v>0</v>
      </c>
      <c r="U24" s="2">
        <v>2.5</v>
      </c>
      <c r="V24" s="2">
        <v>942.15330000000006</v>
      </c>
      <c r="W24" s="89">
        <f t="shared" si="0"/>
        <v>161044.20092103651</v>
      </c>
      <c r="X24" s="3"/>
      <c r="Y24" s="39">
        <v>2438.16626</v>
      </c>
      <c r="Z24" s="40"/>
      <c r="AA24" s="41">
        <v>0</v>
      </c>
      <c r="AB24" s="3"/>
      <c r="AC24" s="89">
        <f t="shared" si="3"/>
        <v>163482.3671810365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196851.37940000001</v>
      </c>
      <c r="C25" s="2">
        <v>35280.679528809203</v>
      </c>
      <c r="D25" s="89">
        <f t="shared" si="1"/>
        <v>232132.05892880922</v>
      </c>
      <c r="E25" s="2">
        <v>3.3167</v>
      </c>
      <c r="F25" s="89">
        <f t="shared" si="2"/>
        <v>232135.37562880921</v>
      </c>
      <c r="G25" s="2">
        <v>0</v>
      </c>
      <c r="H25" s="2">
        <v>0</v>
      </c>
      <c r="I25" s="2">
        <v>0</v>
      </c>
      <c r="J25" s="2">
        <v>2786.9694</v>
      </c>
      <c r="K25" s="2">
        <v>0</v>
      </c>
      <c r="L25" s="2">
        <v>1.9518099999999997E-2</v>
      </c>
      <c r="M25" s="2">
        <v>0</v>
      </c>
      <c r="N25" s="2">
        <v>694.95190000000002</v>
      </c>
      <c r="O25" s="2">
        <v>1207.2191</v>
      </c>
      <c r="P25" s="2">
        <v>0</v>
      </c>
      <c r="Q25" s="2">
        <v>3540.1766000000002</v>
      </c>
      <c r="R25" s="2">
        <v>0</v>
      </c>
      <c r="S25" s="2">
        <v>0</v>
      </c>
      <c r="T25" s="2">
        <v>0</v>
      </c>
      <c r="U25" s="2">
        <v>2.5</v>
      </c>
      <c r="V25" s="2">
        <v>1431.2111</v>
      </c>
      <c r="W25" s="89">
        <f t="shared" si="0"/>
        <v>241798.42324690919</v>
      </c>
      <c r="X25" s="3"/>
      <c r="Y25" s="39">
        <v>12400.105460000001</v>
      </c>
      <c r="Z25" s="40"/>
      <c r="AA25" s="41">
        <v>0</v>
      </c>
      <c r="AB25" s="3"/>
      <c r="AC25" s="89">
        <f t="shared" si="3"/>
        <v>254198.52870690919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181601.34959999999</v>
      </c>
      <c r="C26" s="2">
        <v>23118.129480719603</v>
      </c>
      <c r="D26" s="89">
        <f t="shared" si="1"/>
        <v>204719.47908071958</v>
      </c>
      <c r="E26" s="2">
        <v>2.5083000000000002</v>
      </c>
      <c r="F26" s="89">
        <f t="shared" si="2"/>
        <v>204721.98738071957</v>
      </c>
      <c r="G26" s="2">
        <v>0</v>
      </c>
      <c r="H26" s="2">
        <v>0</v>
      </c>
      <c r="I26" s="2">
        <v>0</v>
      </c>
      <c r="J26" s="2">
        <v>2457.8548999999998</v>
      </c>
      <c r="K26" s="2">
        <v>0</v>
      </c>
      <c r="L26" s="2">
        <v>1.103092E-2</v>
      </c>
      <c r="M26" s="2">
        <v>0</v>
      </c>
      <c r="N26" s="2">
        <v>612.88139999999999</v>
      </c>
      <c r="O26" s="2">
        <v>899.52549999999997</v>
      </c>
      <c r="P26" s="2">
        <v>0</v>
      </c>
      <c r="Q26" s="2">
        <v>3230.4111000000003</v>
      </c>
      <c r="R26" s="2">
        <v>0</v>
      </c>
      <c r="S26" s="2">
        <v>0</v>
      </c>
      <c r="T26" s="2">
        <v>0</v>
      </c>
      <c r="U26" s="2">
        <v>2.2000000000000002</v>
      </c>
      <c r="V26" s="2">
        <v>1262.1918000000001</v>
      </c>
      <c r="W26" s="89">
        <f t="shared" si="0"/>
        <v>213187.06311163958</v>
      </c>
      <c r="X26" s="3"/>
      <c r="Y26" s="39">
        <v>3084.3212599999997</v>
      </c>
      <c r="Z26" s="40"/>
      <c r="AA26" s="41">
        <v>0</v>
      </c>
      <c r="AB26" s="3"/>
      <c r="AC26" s="89">
        <f t="shared" si="3"/>
        <v>216271.38437163958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124767.0273</v>
      </c>
      <c r="C27" s="2">
        <v>13462.364557045594</v>
      </c>
      <c r="D27" s="89">
        <f t="shared" si="1"/>
        <v>138229.39185704559</v>
      </c>
      <c r="E27" s="2">
        <v>1.5751000000000002</v>
      </c>
      <c r="F27" s="89">
        <f t="shared" si="2"/>
        <v>138230.96695704557</v>
      </c>
      <c r="G27" s="2">
        <v>0</v>
      </c>
      <c r="H27" s="2">
        <v>0</v>
      </c>
      <c r="I27" s="2">
        <v>0</v>
      </c>
      <c r="J27" s="2">
        <v>1659.5773000000002</v>
      </c>
      <c r="K27" s="2">
        <v>0</v>
      </c>
      <c r="L27" s="2">
        <v>9.1255300000000015E-3</v>
      </c>
      <c r="M27" s="2">
        <v>0</v>
      </c>
      <c r="N27" s="2">
        <v>413.8159</v>
      </c>
      <c r="O27" s="2">
        <v>700.6472</v>
      </c>
      <c r="P27" s="2">
        <v>0</v>
      </c>
      <c r="Q27" s="2">
        <v>3230.4111000000003</v>
      </c>
      <c r="R27" s="2">
        <v>0</v>
      </c>
      <c r="S27" s="2">
        <v>0</v>
      </c>
      <c r="T27" s="2">
        <v>0</v>
      </c>
      <c r="U27" s="2">
        <v>2.2000000000000002</v>
      </c>
      <c r="V27" s="2">
        <v>852.22850000000005</v>
      </c>
      <c r="W27" s="89">
        <f t="shared" si="0"/>
        <v>145089.85608257557</v>
      </c>
      <c r="X27" s="3"/>
      <c r="Y27" s="39">
        <v>0</v>
      </c>
      <c r="Z27" s="40"/>
      <c r="AA27" s="41">
        <v>0</v>
      </c>
      <c r="AB27" s="3"/>
      <c r="AC27" s="89">
        <f t="shared" si="3"/>
        <v>145089.85608257557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88722.608299999993</v>
      </c>
      <c r="C28" s="2">
        <v>7056.1359057618711</v>
      </c>
      <c r="D28" s="89">
        <f t="shared" si="1"/>
        <v>95778.744205761861</v>
      </c>
      <c r="E28" s="2">
        <v>0.70829999999999993</v>
      </c>
      <c r="F28" s="89">
        <f t="shared" si="2"/>
        <v>95779.452505761859</v>
      </c>
      <c r="G28" s="2">
        <v>0</v>
      </c>
      <c r="H28" s="2">
        <v>0</v>
      </c>
      <c r="I28" s="2">
        <v>0</v>
      </c>
      <c r="J28" s="2">
        <v>1149.9163000000001</v>
      </c>
      <c r="K28" s="2">
        <v>103.92400000000001</v>
      </c>
      <c r="L28" s="2">
        <v>9.1352000000000013E-3</v>
      </c>
      <c r="M28" s="2">
        <v>542.93430000000001</v>
      </c>
      <c r="N28" s="2">
        <v>286.74299999999999</v>
      </c>
      <c r="O28" s="2">
        <v>806.85259999999994</v>
      </c>
      <c r="P28" s="2">
        <v>0</v>
      </c>
      <c r="Q28" s="2">
        <v>2832.1412</v>
      </c>
      <c r="R28" s="2">
        <v>0</v>
      </c>
      <c r="S28" s="2">
        <v>0</v>
      </c>
      <c r="T28" s="2">
        <v>0</v>
      </c>
      <c r="U28" s="2">
        <v>3</v>
      </c>
      <c r="V28" s="2">
        <v>590.52980000000002</v>
      </c>
      <c r="W28" s="89">
        <f t="shared" si="0"/>
        <v>102095.50284096185</v>
      </c>
      <c r="X28" s="3"/>
      <c r="Y28" s="39">
        <v>519.39149999999995</v>
      </c>
      <c r="Z28" s="40"/>
      <c r="AA28" s="41">
        <v>0</v>
      </c>
      <c r="AB28" s="3"/>
      <c r="AC28" s="89">
        <f t="shared" si="3"/>
        <v>102614.89434096185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489541.08380000002</v>
      </c>
      <c r="C29" s="2">
        <v>62205.408642900395</v>
      </c>
      <c r="D29" s="89">
        <f t="shared" si="1"/>
        <v>551746.49244290043</v>
      </c>
      <c r="E29" s="2">
        <v>11.290799999999999</v>
      </c>
      <c r="F29" s="89">
        <f t="shared" si="2"/>
        <v>551757.78324290039</v>
      </c>
      <c r="G29" s="2">
        <v>0</v>
      </c>
      <c r="H29" s="2">
        <v>0</v>
      </c>
      <c r="I29" s="2">
        <v>0</v>
      </c>
      <c r="J29" s="2">
        <v>6624.1474000000007</v>
      </c>
      <c r="K29" s="2">
        <v>1428.7562999999998</v>
      </c>
      <c r="L29" s="2">
        <v>3.7746960000000003E-2</v>
      </c>
      <c r="M29" s="2">
        <v>7465.517499999999</v>
      </c>
      <c r="N29" s="2">
        <v>1652.2409</v>
      </c>
      <c r="O29" s="2">
        <v>3484.6792999999998</v>
      </c>
      <c r="P29" s="2">
        <v>0</v>
      </c>
      <c r="Q29" s="2">
        <v>5098.8357000000005</v>
      </c>
      <c r="R29" s="2">
        <v>0</v>
      </c>
      <c r="S29" s="2">
        <v>0</v>
      </c>
      <c r="T29" s="2">
        <v>0</v>
      </c>
      <c r="U29" s="2">
        <v>0.5</v>
      </c>
      <c r="V29" s="2">
        <v>3401.8191000000002</v>
      </c>
      <c r="W29" s="89">
        <f t="shared" si="0"/>
        <v>580914.31718986027</v>
      </c>
      <c r="X29" s="3"/>
      <c r="Y29" s="39">
        <v>7776.0865599999997</v>
      </c>
      <c r="Z29" s="40"/>
      <c r="AA29" s="41">
        <v>0</v>
      </c>
      <c r="AB29" s="3"/>
      <c r="AC29" s="89">
        <f t="shared" si="3"/>
        <v>588690.40374986024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219202.83630000002</v>
      </c>
      <c r="C30" s="2">
        <v>31009.860427953492</v>
      </c>
      <c r="D30" s="89">
        <f t="shared" si="1"/>
        <v>250212.6967279535</v>
      </c>
      <c r="E30" s="2">
        <v>2.6333000000000002</v>
      </c>
      <c r="F30" s="89">
        <f t="shared" si="2"/>
        <v>250215.33002795349</v>
      </c>
      <c r="G30" s="2">
        <v>0</v>
      </c>
      <c r="H30" s="2">
        <v>0</v>
      </c>
      <c r="I30" s="2">
        <v>0</v>
      </c>
      <c r="J30" s="2">
        <v>3004.0448999999999</v>
      </c>
      <c r="K30" s="2">
        <v>0</v>
      </c>
      <c r="L30" s="2">
        <v>1.8391310000000001E-2</v>
      </c>
      <c r="M30" s="2">
        <v>0</v>
      </c>
      <c r="N30" s="2">
        <v>749.0793000000001</v>
      </c>
      <c r="O30" s="2">
        <v>1396.7172</v>
      </c>
      <c r="P30" s="2">
        <v>0</v>
      </c>
      <c r="Q30" s="2">
        <v>3805.6897999999997</v>
      </c>
      <c r="R30" s="2">
        <v>0</v>
      </c>
      <c r="S30" s="2">
        <v>0</v>
      </c>
      <c r="T30" s="2">
        <v>0</v>
      </c>
      <c r="U30" s="2">
        <v>2.2000000000000002</v>
      </c>
      <c r="V30" s="2">
        <v>1542.6831000000002</v>
      </c>
      <c r="W30" s="89">
        <f t="shared" si="0"/>
        <v>260715.76271926353</v>
      </c>
      <c r="X30" s="3"/>
      <c r="Y30" s="39">
        <v>7861.1927000000005</v>
      </c>
      <c r="Z30" s="40"/>
      <c r="AA30" s="41">
        <v>0</v>
      </c>
      <c r="AB30" s="3"/>
      <c r="AC30" s="89">
        <f t="shared" si="3"/>
        <v>268576.95541926351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249593.49549999999</v>
      </c>
      <c r="C31" s="2">
        <v>38530.215801199556</v>
      </c>
      <c r="D31" s="89">
        <f t="shared" si="1"/>
        <v>288123.71130119957</v>
      </c>
      <c r="E31" s="2">
        <v>4.6500000000000004</v>
      </c>
      <c r="F31" s="89">
        <f t="shared" si="2"/>
        <v>288128.36130119959</v>
      </c>
      <c r="G31" s="2">
        <v>0</v>
      </c>
      <c r="H31" s="2">
        <v>0</v>
      </c>
      <c r="I31" s="2">
        <v>0</v>
      </c>
      <c r="J31" s="2">
        <v>3459.2032000000004</v>
      </c>
      <c r="K31" s="2">
        <v>0</v>
      </c>
      <c r="L31" s="2">
        <v>1.669387E-2</v>
      </c>
      <c r="M31" s="2">
        <v>0</v>
      </c>
      <c r="N31" s="2">
        <v>862.57449999999994</v>
      </c>
      <c r="O31" s="2">
        <v>1199.4760000000001</v>
      </c>
      <c r="P31" s="2">
        <v>0</v>
      </c>
      <c r="Q31" s="2">
        <v>3717.1853999999998</v>
      </c>
      <c r="R31" s="2">
        <v>0</v>
      </c>
      <c r="S31" s="2">
        <v>0</v>
      </c>
      <c r="T31" s="2">
        <v>0</v>
      </c>
      <c r="U31" s="2">
        <v>2.2000000000000002</v>
      </c>
      <c r="V31" s="2">
        <v>1776.4195</v>
      </c>
      <c r="W31" s="89">
        <f t="shared" si="0"/>
        <v>299145.43659506965</v>
      </c>
      <c r="X31" s="3"/>
      <c r="Y31" s="39">
        <v>9547.1832799999993</v>
      </c>
      <c r="Z31" s="40"/>
      <c r="AA31" s="41">
        <v>0</v>
      </c>
      <c r="AB31" s="3"/>
      <c r="AC31" s="89">
        <f t="shared" si="3"/>
        <v>308692.61987506965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71165.338300000003</v>
      </c>
      <c r="C32" s="2">
        <v>3528.0679528809355</v>
      </c>
      <c r="D32" s="89">
        <f t="shared" si="1"/>
        <v>74693.406252880945</v>
      </c>
      <c r="E32" s="2">
        <v>1</v>
      </c>
      <c r="F32" s="89">
        <f t="shared" si="2"/>
        <v>74694.406252880945</v>
      </c>
      <c r="G32" s="2">
        <v>0</v>
      </c>
      <c r="H32" s="2">
        <v>0</v>
      </c>
      <c r="I32" s="2">
        <v>0</v>
      </c>
      <c r="J32" s="2">
        <v>896.7627</v>
      </c>
      <c r="K32" s="2">
        <v>9.2182999999999993</v>
      </c>
      <c r="L32" s="2">
        <v>4.3598400000000002E-3</v>
      </c>
      <c r="M32" s="2">
        <v>48.159300000000002</v>
      </c>
      <c r="N32" s="2">
        <v>223.6189</v>
      </c>
      <c r="O32" s="2">
        <v>631.51780000000008</v>
      </c>
      <c r="P32" s="2">
        <v>0</v>
      </c>
      <c r="Q32" s="2">
        <v>2345.3670000000002</v>
      </c>
      <c r="R32" s="2">
        <v>0</v>
      </c>
      <c r="S32" s="2">
        <v>0</v>
      </c>
      <c r="T32" s="2">
        <v>0</v>
      </c>
      <c r="U32" s="2">
        <v>3</v>
      </c>
      <c r="V32" s="2">
        <v>460.52940000000001</v>
      </c>
      <c r="W32" s="89">
        <f t="shared" si="0"/>
        <v>79312.584012720938</v>
      </c>
      <c r="X32" s="3"/>
      <c r="Y32" s="39">
        <v>203.94008859999997</v>
      </c>
      <c r="Z32" s="40"/>
      <c r="AA32" s="43">
        <v>0</v>
      </c>
      <c r="AB32" s="3"/>
      <c r="AC32" s="89">
        <f t="shared" si="3"/>
        <v>79516.524101320931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5253847.6047</v>
      </c>
      <c r="C33" s="83">
        <f>SUM(C10:C32)</f>
        <v>879417.35920231615</v>
      </c>
      <c r="D33" s="83">
        <f>SUM(D10:D32)</f>
        <v>6133264.9639023161</v>
      </c>
      <c r="E33" s="83">
        <f t="shared" ref="E33:W33" si="4">SUM(E10:E32)</f>
        <v>107.0158</v>
      </c>
      <c r="F33" s="83">
        <f>SUM(F10:F32)</f>
        <v>6133371.9797023172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73635.638200000001</v>
      </c>
      <c r="K33" s="83">
        <f t="shared" si="4"/>
        <v>8596.3733999999986</v>
      </c>
      <c r="L33" s="83">
        <f t="shared" si="4"/>
        <v>0.48885808999999997</v>
      </c>
      <c r="M33" s="83">
        <f t="shared" si="4"/>
        <v>44911.693300000006</v>
      </c>
      <c r="N33" s="83">
        <f t="shared" si="4"/>
        <v>18361.969700000001</v>
      </c>
      <c r="O33" s="83">
        <f t="shared" si="4"/>
        <v>36734.978199999998</v>
      </c>
      <c r="P33" s="83">
        <f t="shared" si="4"/>
        <v>0</v>
      </c>
      <c r="Q33" s="83">
        <f t="shared" si="4"/>
        <v>87487.002199999988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37814.303400000004</v>
      </c>
      <c r="W33" s="83">
        <f t="shared" si="4"/>
        <v>6440960.2269604048</v>
      </c>
      <c r="X33" s="48"/>
      <c r="Y33" s="95">
        <f>SUM(Y10:Y32)</f>
        <v>256559.40028860001</v>
      </c>
      <c r="Z33" s="40"/>
      <c r="AA33" s="101">
        <f>SUM(AA10:AA32)</f>
        <v>0</v>
      </c>
      <c r="AB33" s="6"/>
      <c r="AC33" s="93">
        <f>SUM(AC10:AC32)</f>
        <v>6697519.6272490062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100382.6854</v>
      </c>
      <c r="C34" s="2">
        <v>49006.12706945523</v>
      </c>
      <c r="D34" s="89">
        <f>B34+C34</f>
        <v>149388.81246945524</v>
      </c>
      <c r="E34" s="2">
        <v>0</v>
      </c>
      <c r="F34" s="89">
        <f>D34+E34</f>
        <v>149388.81246945524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1.58844E-2</v>
      </c>
      <c r="M34" s="2">
        <v>0</v>
      </c>
      <c r="N34" s="2">
        <v>0</v>
      </c>
      <c r="O34" s="2">
        <v>0</v>
      </c>
      <c r="P34" s="2">
        <v>0</v>
      </c>
      <c r="Q34" s="2">
        <v>1150.5573999999999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150539.38575385523</v>
      </c>
      <c r="X34" s="3"/>
      <c r="Y34" s="39"/>
      <c r="Z34" s="40"/>
      <c r="AA34" s="97">
        <v>0</v>
      </c>
      <c r="AB34" s="3"/>
      <c r="AC34" s="89">
        <f>+W34+Y34+AA34</f>
        <v>150539.38575385523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4293861.2969000004</v>
      </c>
      <c r="C36" s="2">
        <v>0</v>
      </c>
      <c r="D36" s="89">
        <f>B36+C36</f>
        <v>4293861.2969000004</v>
      </c>
      <c r="E36" s="2">
        <v>0</v>
      </c>
      <c r="F36" s="89">
        <f>D36+E36</f>
        <v>4293861.2969000004</v>
      </c>
      <c r="G36" s="2">
        <v>0</v>
      </c>
      <c r="H36" s="2">
        <v>0</v>
      </c>
      <c r="I36" s="2">
        <v>0</v>
      </c>
      <c r="J36" s="2">
        <v>53344.570299999999</v>
      </c>
      <c r="K36" s="2">
        <v>0</v>
      </c>
      <c r="L36" s="2">
        <v>0.24015576000000002</v>
      </c>
      <c r="M36" s="2">
        <v>0</v>
      </c>
      <c r="N36" s="2">
        <v>0</v>
      </c>
      <c r="O36" s="2">
        <v>61078.029600000002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4408284.1369557604</v>
      </c>
      <c r="X36" s="3"/>
      <c r="Y36" s="39">
        <f>-SUM(Y33)</f>
        <v>-256559.40028860001</v>
      </c>
      <c r="Z36" s="40"/>
      <c r="AA36" s="41">
        <f>-(AA33+AA34)</f>
        <v>0</v>
      </c>
      <c r="AB36" s="3"/>
      <c r="AC36" s="89">
        <f>+W36+Y36+AA36</f>
        <v>4151724.7366671604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669284.9865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88050.531799999997</v>
      </c>
      <c r="W37" s="89">
        <f>SUM(F37:V37)</f>
        <v>757335.5183</v>
      </c>
      <c r="X37" s="3"/>
      <c r="Y37" s="39"/>
      <c r="Z37" s="40"/>
      <c r="AA37" s="41"/>
      <c r="AB37" s="3"/>
      <c r="AC37" s="89">
        <f t="shared" si="3"/>
        <v>757335.5183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106706.2947</v>
      </c>
      <c r="C38" s="37">
        <v>0</v>
      </c>
      <c r="D38" s="89">
        <f>B38+C38</f>
        <v>106706.2947</v>
      </c>
      <c r="E38" s="37">
        <v>0</v>
      </c>
      <c r="F38" s="89">
        <f>D38+E38</f>
        <v>106706.2947</v>
      </c>
      <c r="G38" s="37">
        <v>0</v>
      </c>
      <c r="H38" s="37">
        <v>0</v>
      </c>
      <c r="I38" s="37">
        <v>0</v>
      </c>
      <c r="J38" s="37">
        <v>1281.0896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107987.38430000001</v>
      </c>
      <c r="X38" s="3"/>
      <c r="Y38" s="42"/>
      <c r="Z38" s="40"/>
      <c r="AA38" s="43"/>
      <c r="AB38" s="3"/>
      <c r="AC38" s="90">
        <f t="shared" si="3"/>
        <v>107987.38430000001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9754843.6817000005</v>
      </c>
      <c r="C39" s="85">
        <f>+SUM(C33:C38)</f>
        <v>928423.48627177137</v>
      </c>
      <c r="D39" s="85">
        <f>+SUM(D33:D38)</f>
        <v>10683267.167971771</v>
      </c>
      <c r="E39" s="85">
        <f t="shared" ref="E39:V39" si="5">+SUM(E33:E38)</f>
        <v>107.0158</v>
      </c>
      <c r="F39" s="85">
        <f>SUM(F33:F38)</f>
        <v>10683374.183771774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128261.29810000001</v>
      </c>
      <c r="K39" s="85">
        <f t="shared" si="5"/>
        <v>8596.3733999999986</v>
      </c>
      <c r="L39" s="85">
        <f t="shared" si="5"/>
        <v>0.74489824999999998</v>
      </c>
      <c r="M39" s="85">
        <f t="shared" si="5"/>
        <v>714196.67980000004</v>
      </c>
      <c r="N39" s="85">
        <f t="shared" si="5"/>
        <v>18361.969700000001</v>
      </c>
      <c r="O39" s="85">
        <f t="shared" si="5"/>
        <v>97813.007799999992</v>
      </c>
      <c r="P39" s="85">
        <f t="shared" si="5"/>
        <v>0</v>
      </c>
      <c r="Q39" s="85">
        <f t="shared" si="5"/>
        <v>88637.559599999993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125864.8352</v>
      </c>
      <c r="W39" s="85">
        <f>+SUM(W33:W38)</f>
        <v>11865106.652270021</v>
      </c>
      <c r="X39" s="47"/>
      <c r="Y39" s="46">
        <f>+SUM(Y33:Y38)</f>
        <v>0</v>
      </c>
      <c r="Z39" s="49"/>
      <c r="AA39" s="102"/>
      <c r="AB39" s="7"/>
      <c r="AC39" s="94">
        <f>+SUM(AC33:AC38)</f>
        <v>11865106.652270021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4558040.2529999996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5777252.1095000003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297948.40000000002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105.252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15818.1983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21511.052800000001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12698.918171772004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10683374.183771774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10683328.383771773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F33 D33 W3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7C83-AC95-42B5-9099-BBC9F402F682}">
  <sheetPr>
    <pageSetUpPr fitToPage="1"/>
  </sheetPr>
  <dimension ref="A1:AZ77"/>
  <sheetViews>
    <sheetView showGridLines="0" showZeros="0" topLeftCell="K13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1029530.1385</v>
      </c>
      <c r="C10" s="2">
        <v>337431.84652500681</v>
      </c>
      <c r="D10" s="89">
        <f>B10+C10</f>
        <v>1366961.9850250068</v>
      </c>
      <c r="E10" s="2">
        <v>35.008399999999995</v>
      </c>
      <c r="F10" s="89">
        <f>D10+E10</f>
        <v>1366996.9934250067</v>
      </c>
      <c r="G10" s="2">
        <v>0</v>
      </c>
      <c r="H10" s="2">
        <v>0</v>
      </c>
      <c r="I10" s="2">
        <v>0</v>
      </c>
      <c r="J10" s="2">
        <v>10777.3716</v>
      </c>
      <c r="K10" s="2">
        <v>2565.7772</v>
      </c>
      <c r="L10" s="2">
        <v>0</v>
      </c>
      <c r="M10" s="2">
        <v>20501.042100000002</v>
      </c>
      <c r="N10" s="2">
        <v>3937.9707999999996</v>
      </c>
      <c r="O10" s="2">
        <v>8482.1821999999993</v>
      </c>
      <c r="P10" s="2">
        <v>406.59923509096245</v>
      </c>
      <c r="Q10" s="2">
        <v>12692.857800000002</v>
      </c>
      <c r="R10" s="2">
        <v>822.91129934649086</v>
      </c>
      <c r="S10" s="2">
        <v>0</v>
      </c>
      <c r="T10" s="2">
        <v>598.74816250412323</v>
      </c>
      <c r="U10" s="2">
        <v>0</v>
      </c>
      <c r="V10" s="2">
        <v>8457.5338000000011</v>
      </c>
      <c r="W10" s="89">
        <f t="shared" ref="W10:W32" si="0">SUM(F10:V10)</f>
        <v>1436239.9876219481</v>
      </c>
      <c r="X10" s="3"/>
      <c r="Y10" s="39">
        <v>166031.03497199999</v>
      </c>
      <c r="Z10" s="40"/>
      <c r="AA10" s="97">
        <v>0</v>
      </c>
      <c r="AB10" s="3"/>
      <c r="AC10" s="89">
        <f>+W10+Y10+AA10</f>
        <v>1602271.0225939481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155723.3548</v>
      </c>
      <c r="C11" s="2">
        <v>15727.755558369203</v>
      </c>
      <c r="D11" s="89">
        <f t="shared" ref="D11:D32" si="1">B11+C11</f>
        <v>171451.11035836922</v>
      </c>
      <c r="E11" s="2">
        <v>1.7832999999999999</v>
      </c>
      <c r="F11" s="89">
        <f t="shared" ref="F11:F32" si="2">D11+E11</f>
        <v>171452.89365836923</v>
      </c>
      <c r="G11" s="2">
        <v>0</v>
      </c>
      <c r="H11" s="2">
        <v>0</v>
      </c>
      <c r="I11" s="2">
        <v>0</v>
      </c>
      <c r="J11" s="2">
        <v>1351.7511000000002</v>
      </c>
      <c r="K11" s="2">
        <v>0</v>
      </c>
      <c r="L11" s="2">
        <v>0</v>
      </c>
      <c r="M11" s="2">
        <v>0</v>
      </c>
      <c r="N11" s="2">
        <v>493.9273</v>
      </c>
      <c r="O11" s="2">
        <v>870.76290000000006</v>
      </c>
      <c r="P11" s="2">
        <v>612.80417991949741</v>
      </c>
      <c r="Q11" s="2">
        <v>1838.2760000000001</v>
      </c>
      <c r="R11" s="2">
        <v>1172.7455901951744</v>
      </c>
      <c r="S11" s="2">
        <v>0</v>
      </c>
      <c r="T11" s="2">
        <v>902.40055818470103</v>
      </c>
      <c r="U11" s="2">
        <v>2.2000000000000002</v>
      </c>
      <c r="V11" s="2">
        <v>1060.8018</v>
      </c>
      <c r="W11" s="89">
        <f t="shared" si="0"/>
        <v>179758.56308666861</v>
      </c>
      <c r="X11" s="3"/>
      <c r="Y11" s="39">
        <v>1430.5120939999999</v>
      </c>
      <c r="Z11" s="40"/>
      <c r="AA11" s="41">
        <v>0</v>
      </c>
      <c r="AB11" s="3"/>
      <c r="AC11" s="89">
        <f t="shared" ref="AC11:AC38" si="3">+W11+Y11+AA11</f>
        <v>181189.07518066862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480413.1888</v>
      </c>
      <c r="C12" s="2">
        <v>72306.824255359301</v>
      </c>
      <c r="D12" s="89">
        <f t="shared" si="1"/>
        <v>552720.01305535925</v>
      </c>
      <c r="E12" s="2">
        <v>10.441700000000001</v>
      </c>
      <c r="F12" s="89">
        <f>D12+E12</f>
        <v>552730.45475535921</v>
      </c>
      <c r="G12" s="2">
        <v>0</v>
      </c>
      <c r="H12" s="2">
        <v>0</v>
      </c>
      <c r="I12" s="2">
        <v>0</v>
      </c>
      <c r="J12" s="2">
        <v>4357.7430000000004</v>
      </c>
      <c r="K12" s="2">
        <v>876.22390000000007</v>
      </c>
      <c r="L12" s="2">
        <v>0</v>
      </c>
      <c r="M12" s="2">
        <v>7001.1938</v>
      </c>
      <c r="N12" s="2">
        <v>1592.2964999999999</v>
      </c>
      <c r="O12" s="2">
        <v>3811.7037999999998</v>
      </c>
      <c r="P12" s="2">
        <v>406.59923509107614</v>
      </c>
      <c r="Q12" s="2">
        <v>4945.8377</v>
      </c>
      <c r="R12" s="2">
        <v>775.03444003949073</v>
      </c>
      <c r="S12" s="2">
        <v>0</v>
      </c>
      <c r="T12" s="2">
        <v>598.74816250412323</v>
      </c>
      <c r="U12" s="2">
        <v>0.5</v>
      </c>
      <c r="V12" s="2">
        <v>3419.7566000000002</v>
      </c>
      <c r="W12" s="89">
        <f t="shared" si="0"/>
        <v>580516.09189299413</v>
      </c>
      <c r="X12" s="3"/>
      <c r="Y12" s="39">
        <v>7613.824372</v>
      </c>
      <c r="Z12" s="40"/>
      <c r="AA12" s="41">
        <v>0</v>
      </c>
      <c r="AB12" s="3"/>
      <c r="AC12" s="89">
        <f t="shared" si="3"/>
        <v>588129.91626499407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198513.7439</v>
      </c>
      <c r="C13" s="2">
        <v>32885.307076589655</v>
      </c>
      <c r="D13" s="89">
        <f t="shared" si="1"/>
        <v>231399.05097658967</v>
      </c>
      <c r="E13" s="2">
        <v>3.2166999999999999</v>
      </c>
      <c r="F13" s="89">
        <f t="shared" si="2"/>
        <v>231402.26767658966</v>
      </c>
      <c r="G13" s="2">
        <v>0</v>
      </c>
      <c r="H13" s="2">
        <v>0</v>
      </c>
      <c r="I13" s="2">
        <v>0</v>
      </c>
      <c r="J13" s="2">
        <v>1824.3913</v>
      </c>
      <c r="K13" s="2">
        <v>280.17579999999998</v>
      </c>
      <c r="L13" s="2">
        <v>0</v>
      </c>
      <c r="M13" s="2">
        <v>2238.6574000000001</v>
      </c>
      <c r="N13" s="2">
        <v>666.62239999999997</v>
      </c>
      <c r="O13" s="2">
        <v>1122.7768000000001</v>
      </c>
      <c r="P13" s="2">
        <v>514.75246215242669</v>
      </c>
      <c r="Q13" s="2">
        <v>4333.0789999999997</v>
      </c>
      <c r="R13" s="2">
        <v>1113.5549676825053</v>
      </c>
      <c r="S13" s="2">
        <v>0</v>
      </c>
      <c r="T13" s="2">
        <v>758.01197902913475</v>
      </c>
      <c r="U13" s="2">
        <v>1.5</v>
      </c>
      <c r="V13" s="2">
        <v>1431.6971000000001</v>
      </c>
      <c r="W13" s="89">
        <f t="shared" si="0"/>
        <v>245687.48688545369</v>
      </c>
      <c r="X13" s="3"/>
      <c r="Y13" s="39">
        <v>8716.729252000001</v>
      </c>
      <c r="Z13" s="40"/>
      <c r="AA13" s="41">
        <v>0</v>
      </c>
      <c r="AB13" s="3"/>
      <c r="AC13" s="89">
        <f t="shared" si="3"/>
        <v>254404.21613745368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272742.86800000002</v>
      </c>
      <c r="C14" s="2">
        <v>37787.464653224364</v>
      </c>
      <c r="D14" s="89">
        <f t="shared" si="1"/>
        <v>310530.33265322435</v>
      </c>
      <c r="E14" s="2">
        <v>2.8</v>
      </c>
      <c r="F14" s="89">
        <f t="shared" si="2"/>
        <v>310533.13265322434</v>
      </c>
      <c r="G14" s="2">
        <v>0</v>
      </c>
      <c r="H14" s="2">
        <v>0</v>
      </c>
      <c r="I14" s="2">
        <v>0</v>
      </c>
      <c r="J14" s="2">
        <v>2448.2763999999997</v>
      </c>
      <c r="K14" s="2">
        <v>220.26579999999998</v>
      </c>
      <c r="L14" s="2">
        <v>0</v>
      </c>
      <c r="M14" s="2">
        <v>1759.9648999999999</v>
      </c>
      <c r="N14" s="2">
        <v>894.59299999999996</v>
      </c>
      <c r="O14" s="2">
        <v>1136.5086000000001</v>
      </c>
      <c r="P14" s="2">
        <v>546.71164870658208</v>
      </c>
      <c r="Q14" s="2">
        <v>4026.6997000000001</v>
      </c>
      <c r="R14" s="2">
        <v>1134.0662186485106</v>
      </c>
      <c r="S14" s="2">
        <v>0</v>
      </c>
      <c r="T14" s="2">
        <v>805.07430125599478</v>
      </c>
      <c r="U14" s="2">
        <v>0.5</v>
      </c>
      <c r="V14" s="2">
        <v>1921.3068999999998</v>
      </c>
      <c r="W14" s="89">
        <f t="shared" si="0"/>
        <v>325427.10012183542</v>
      </c>
      <c r="X14" s="3"/>
      <c r="Y14" s="39">
        <v>10676.715609999999</v>
      </c>
      <c r="Z14" s="40"/>
      <c r="AA14" s="41">
        <v>0</v>
      </c>
      <c r="AB14" s="3"/>
      <c r="AC14" s="89">
        <f t="shared" si="3"/>
        <v>336103.81573183544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83125.234599999996</v>
      </c>
      <c r="C15" s="2">
        <v>15319.242426983032</v>
      </c>
      <c r="D15" s="89">
        <f t="shared" si="1"/>
        <v>98444.477026983033</v>
      </c>
      <c r="E15" s="2">
        <v>2.0167000000000002</v>
      </c>
      <c r="F15" s="89">
        <f t="shared" si="2"/>
        <v>98446.493726983026</v>
      </c>
      <c r="G15" s="2">
        <v>0</v>
      </c>
      <c r="H15" s="2">
        <v>0</v>
      </c>
      <c r="I15" s="2">
        <v>0</v>
      </c>
      <c r="J15" s="2">
        <v>776.15380000000005</v>
      </c>
      <c r="K15" s="2">
        <v>86.163800000000009</v>
      </c>
      <c r="L15" s="2">
        <v>0</v>
      </c>
      <c r="M15" s="2">
        <v>688.46530000000007</v>
      </c>
      <c r="N15" s="2">
        <v>283.60859999999997</v>
      </c>
      <c r="O15" s="2">
        <v>991.37040000000002</v>
      </c>
      <c r="P15" s="2">
        <v>573.21784961525225</v>
      </c>
      <c r="Q15" s="2">
        <v>2801.1823999999997</v>
      </c>
      <c r="R15" s="2">
        <v>1721.0013681154298</v>
      </c>
      <c r="S15" s="2">
        <v>0</v>
      </c>
      <c r="T15" s="2">
        <v>844.10668920740989</v>
      </c>
      <c r="U15" s="2">
        <v>3</v>
      </c>
      <c r="V15" s="2">
        <v>609.1028</v>
      </c>
      <c r="W15" s="89">
        <f t="shared" si="0"/>
        <v>107823.86673392111</v>
      </c>
      <c r="X15" s="3"/>
      <c r="Y15" s="39">
        <v>2091.6846499999997</v>
      </c>
      <c r="Z15" s="40"/>
      <c r="AA15" s="41">
        <v>0</v>
      </c>
      <c r="AB15" s="3"/>
      <c r="AC15" s="89">
        <f t="shared" si="3"/>
        <v>109915.55138392111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271969.90669999999</v>
      </c>
      <c r="C16" s="2">
        <v>31966.152530970947</v>
      </c>
      <c r="D16" s="89">
        <f t="shared" si="1"/>
        <v>303936.05923097092</v>
      </c>
      <c r="E16" s="2">
        <v>5.6249000000000002</v>
      </c>
      <c r="F16" s="89">
        <f t="shared" si="2"/>
        <v>303941.68413097091</v>
      </c>
      <c r="G16" s="2">
        <v>0</v>
      </c>
      <c r="H16" s="2">
        <v>0</v>
      </c>
      <c r="I16" s="2">
        <v>0</v>
      </c>
      <c r="J16" s="2">
        <v>2396.2860000000001</v>
      </c>
      <c r="K16" s="2">
        <v>380.26190000000003</v>
      </c>
      <c r="L16" s="2">
        <v>0</v>
      </c>
      <c r="M16" s="2">
        <v>3038.3640999999998</v>
      </c>
      <c r="N16" s="2">
        <v>875.58190000000002</v>
      </c>
      <c r="O16" s="2">
        <v>1430.9331000000002</v>
      </c>
      <c r="P16" s="2">
        <v>470.4988452019702</v>
      </c>
      <c r="Q16" s="2">
        <v>3413.9411</v>
      </c>
      <c r="R16" s="2">
        <v>1082.9849408053733</v>
      </c>
      <c r="S16" s="2">
        <v>0</v>
      </c>
      <c r="T16" s="2">
        <v>692.84517707261512</v>
      </c>
      <c r="U16" s="2">
        <v>1.8</v>
      </c>
      <c r="V16" s="2">
        <v>1880.4768999999999</v>
      </c>
      <c r="W16" s="89">
        <f t="shared" si="0"/>
        <v>319605.65809405089</v>
      </c>
      <c r="X16" s="3"/>
      <c r="Y16" s="39">
        <v>5172.0618180000001</v>
      </c>
      <c r="Z16" s="40"/>
      <c r="AA16" s="41">
        <v>0</v>
      </c>
      <c r="AB16" s="3"/>
      <c r="AC16" s="89">
        <f t="shared" si="3"/>
        <v>324777.71991205087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205054.14809999999</v>
      </c>
      <c r="C17" s="2">
        <v>21549.067680622618</v>
      </c>
      <c r="D17" s="89">
        <f t="shared" si="1"/>
        <v>226603.21578062262</v>
      </c>
      <c r="E17" s="2">
        <v>1.7251000000000001</v>
      </c>
      <c r="F17" s="89">
        <f t="shared" si="2"/>
        <v>226604.94088062263</v>
      </c>
      <c r="G17" s="2">
        <v>0</v>
      </c>
      <c r="H17" s="2">
        <v>0</v>
      </c>
      <c r="I17" s="2">
        <v>0</v>
      </c>
      <c r="J17" s="2">
        <v>1786.5801000000001</v>
      </c>
      <c r="K17" s="2">
        <v>102.6041</v>
      </c>
      <c r="L17" s="2">
        <v>0</v>
      </c>
      <c r="M17" s="2">
        <v>819.82600000000002</v>
      </c>
      <c r="N17" s="2">
        <v>652.81259999999997</v>
      </c>
      <c r="O17" s="2">
        <v>765.74199999999996</v>
      </c>
      <c r="P17" s="2">
        <v>631.75359816085131</v>
      </c>
      <c r="Q17" s="2">
        <v>3501.4780000000001</v>
      </c>
      <c r="R17" s="2">
        <v>1183.2190439227682</v>
      </c>
      <c r="S17" s="2">
        <v>0</v>
      </c>
      <c r="T17" s="2">
        <v>930.30501144797847</v>
      </c>
      <c r="U17" s="2">
        <v>2.2000000000000002</v>
      </c>
      <c r="V17" s="2">
        <v>1402.0378999999998</v>
      </c>
      <c r="W17" s="89">
        <f t="shared" si="0"/>
        <v>238383.49923415421</v>
      </c>
      <c r="X17" s="3"/>
      <c r="Y17" s="39">
        <v>5374.9457739999998</v>
      </c>
      <c r="Z17" s="40"/>
      <c r="AA17" s="41">
        <v>0</v>
      </c>
      <c r="AB17" s="3"/>
      <c r="AC17" s="89">
        <f t="shared" si="3"/>
        <v>243758.4450081542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156114.3836</v>
      </c>
      <c r="C18" s="2">
        <v>20732.041417850283</v>
      </c>
      <c r="D18" s="89">
        <f t="shared" si="1"/>
        <v>176846.4250178503</v>
      </c>
      <c r="E18" s="2">
        <v>2.7749999999999999</v>
      </c>
      <c r="F18" s="89">
        <f t="shared" si="2"/>
        <v>176849.20001785029</v>
      </c>
      <c r="G18" s="2">
        <v>0</v>
      </c>
      <c r="H18" s="2">
        <v>0</v>
      </c>
      <c r="I18" s="2">
        <v>0</v>
      </c>
      <c r="J18" s="2">
        <v>1394.2887000000001</v>
      </c>
      <c r="K18" s="2">
        <v>0</v>
      </c>
      <c r="L18" s="2">
        <v>0</v>
      </c>
      <c r="M18" s="2">
        <v>0</v>
      </c>
      <c r="N18" s="2">
        <v>509.4588</v>
      </c>
      <c r="O18" s="2">
        <v>851.16899999999998</v>
      </c>
      <c r="P18" s="2">
        <v>509.80255841372548</v>
      </c>
      <c r="Q18" s="2">
        <v>2626.1084999999998</v>
      </c>
      <c r="R18" s="2">
        <v>1147.3030331663522</v>
      </c>
      <c r="S18" s="2">
        <v>0</v>
      </c>
      <c r="T18" s="2">
        <v>750.72287096904529</v>
      </c>
      <c r="U18" s="2">
        <v>2.2000000000000002</v>
      </c>
      <c r="V18" s="2">
        <v>1094.1586000000002</v>
      </c>
      <c r="W18" s="89">
        <f t="shared" si="0"/>
        <v>185734.41208039943</v>
      </c>
      <c r="X18" s="3"/>
      <c r="Y18" s="39">
        <v>5135.3724400000001</v>
      </c>
      <c r="Z18" s="40"/>
      <c r="AA18" s="41">
        <v>0</v>
      </c>
      <c r="AB18" s="3"/>
      <c r="AC18" s="89">
        <f t="shared" si="3"/>
        <v>190869.78452039944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108359.23240000001</v>
      </c>
      <c r="C19" s="2">
        <v>10825.597981734498</v>
      </c>
      <c r="D19" s="89">
        <f t="shared" si="1"/>
        <v>119184.8303817345</v>
      </c>
      <c r="E19" s="2">
        <v>1.6</v>
      </c>
      <c r="F19" s="89">
        <f t="shared" si="2"/>
        <v>119186.43038173451</v>
      </c>
      <c r="G19" s="2">
        <v>0</v>
      </c>
      <c r="H19" s="2">
        <v>0</v>
      </c>
      <c r="I19" s="2">
        <v>0</v>
      </c>
      <c r="J19" s="2">
        <v>939.49109999999996</v>
      </c>
      <c r="K19" s="2">
        <v>75.662600000000012</v>
      </c>
      <c r="L19" s="2">
        <v>2.9999999999999997E-8</v>
      </c>
      <c r="M19" s="2">
        <v>604.69090000000006</v>
      </c>
      <c r="N19" s="2">
        <v>343.28829999999999</v>
      </c>
      <c r="O19" s="2">
        <v>1074.3401000000001</v>
      </c>
      <c r="P19" s="2">
        <v>452.56262687964602</v>
      </c>
      <c r="Q19" s="2">
        <v>1784.6588000000002</v>
      </c>
      <c r="R19" s="2">
        <v>1485.1567654983053</v>
      </c>
      <c r="S19" s="2">
        <v>0</v>
      </c>
      <c r="T19" s="2">
        <v>666.43273740297866</v>
      </c>
      <c r="U19" s="2">
        <v>2.5</v>
      </c>
      <c r="V19" s="2">
        <v>737.27149999999995</v>
      </c>
      <c r="W19" s="89">
        <f t="shared" si="0"/>
        <v>127352.48581154546</v>
      </c>
      <c r="X19" s="3"/>
      <c r="Y19" s="39">
        <v>0</v>
      </c>
      <c r="Z19" s="40"/>
      <c r="AA19" s="41">
        <v>0</v>
      </c>
      <c r="AB19" s="3"/>
      <c r="AC19" s="89">
        <f t="shared" si="3"/>
        <v>127352.48581154546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116632.67849999999</v>
      </c>
      <c r="C20" s="2">
        <v>12255.393941586426</v>
      </c>
      <c r="D20" s="89">
        <f t="shared" si="1"/>
        <v>128888.07244158642</v>
      </c>
      <c r="E20" s="2">
        <v>1.6916</v>
      </c>
      <c r="F20" s="89">
        <f t="shared" si="2"/>
        <v>128889.76404158643</v>
      </c>
      <c r="G20" s="2">
        <v>0</v>
      </c>
      <c r="H20" s="2">
        <v>0</v>
      </c>
      <c r="I20" s="2">
        <v>0</v>
      </c>
      <c r="J20" s="2">
        <v>1016.1765</v>
      </c>
      <c r="K20" s="2">
        <v>0</v>
      </c>
      <c r="L20" s="2">
        <v>0</v>
      </c>
      <c r="M20" s="2">
        <v>0</v>
      </c>
      <c r="N20" s="2">
        <v>371.30629999999996</v>
      </c>
      <c r="O20" s="2">
        <v>663.90139999999997</v>
      </c>
      <c r="P20" s="2">
        <v>596.26111146554126</v>
      </c>
      <c r="Q20" s="2">
        <v>1750.739</v>
      </c>
      <c r="R20" s="2">
        <v>1244.0328097769004</v>
      </c>
      <c r="S20" s="2">
        <v>0</v>
      </c>
      <c r="T20" s="2">
        <v>878.03963720245383</v>
      </c>
      <c r="U20" s="2">
        <v>2.2000000000000002</v>
      </c>
      <c r="V20" s="2">
        <v>797.4502</v>
      </c>
      <c r="W20" s="89">
        <f t="shared" si="0"/>
        <v>136209.87100003133</v>
      </c>
      <c r="X20" s="3"/>
      <c r="Y20" s="39">
        <v>1717.473076</v>
      </c>
      <c r="Z20" s="40"/>
      <c r="AA20" s="41">
        <v>0</v>
      </c>
      <c r="AB20" s="3"/>
      <c r="AC20" s="89">
        <f t="shared" si="3"/>
        <v>137927.34407603132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212799.8296</v>
      </c>
      <c r="C21" s="2">
        <v>46774.753543721439</v>
      </c>
      <c r="D21" s="89">
        <f t="shared" si="1"/>
        <v>259574.58314372145</v>
      </c>
      <c r="E21" s="2">
        <v>5.1416000000000004</v>
      </c>
      <c r="F21" s="89">
        <f t="shared" si="2"/>
        <v>259579.72474372145</v>
      </c>
      <c r="G21" s="2">
        <v>0</v>
      </c>
      <c r="H21" s="2">
        <v>0</v>
      </c>
      <c r="I21" s="2">
        <v>0</v>
      </c>
      <c r="J21" s="2">
        <v>2046.5321999999999</v>
      </c>
      <c r="K21" s="2">
        <v>0</v>
      </c>
      <c r="L21" s="2">
        <v>0</v>
      </c>
      <c r="M21" s="2">
        <v>0</v>
      </c>
      <c r="N21" s="2">
        <v>747.7958000000001</v>
      </c>
      <c r="O21" s="2">
        <v>1554.7294999999999</v>
      </c>
      <c r="P21" s="2">
        <v>462.81423985762734</v>
      </c>
      <c r="Q21" s="2">
        <v>3501.4780000000001</v>
      </c>
      <c r="R21" s="2">
        <v>877.70714504567081</v>
      </c>
      <c r="S21" s="2">
        <v>0</v>
      </c>
      <c r="T21" s="2">
        <v>681.52901380425055</v>
      </c>
      <c r="U21" s="2">
        <v>2.2000000000000002</v>
      </c>
      <c r="V21" s="2">
        <v>1606.0323000000001</v>
      </c>
      <c r="W21" s="89">
        <f t="shared" si="0"/>
        <v>271060.54294242908</v>
      </c>
      <c r="X21" s="3"/>
      <c r="Y21" s="39">
        <v>7527.9454800000003</v>
      </c>
      <c r="Z21" s="40"/>
      <c r="AA21" s="41">
        <v>0</v>
      </c>
      <c r="AB21" s="3"/>
      <c r="AC21" s="89">
        <f t="shared" si="3"/>
        <v>278588.48842242907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165485.0214</v>
      </c>
      <c r="C22" s="2">
        <v>40136.415158695672</v>
      </c>
      <c r="D22" s="89">
        <f t="shared" si="1"/>
        <v>205621.43655869568</v>
      </c>
      <c r="E22" s="2">
        <v>2.8416999999999999</v>
      </c>
      <c r="F22" s="89">
        <f t="shared" si="2"/>
        <v>205624.27825869567</v>
      </c>
      <c r="G22" s="2">
        <v>0</v>
      </c>
      <c r="H22" s="2">
        <v>0</v>
      </c>
      <c r="I22" s="2">
        <v>0</v>
      </c>
      <c r="J22" s="2">
        <v>1621.1559999999999</v>
      </c>
      <c r="K22" s="2">
        <v>120.2921</v>
      </c>
      <c r="L22" s="2">
        <v>0</v>
      </c>
      <c r="M22" s="2">
        <v>961.15680000000009</v>
      </c>
      <c r="N22" s="2">
        <v>592.35390000000007</v>
      </c>
      <c r="O22" s="2">
        <v>1039.2965999999999</v>
      </c>
      <c r="P22" s="2">
        <v>598.64518024181416</v>
      </c>
      <c r="Q22" s="2">
        <v>4114.2367000000004</v>
      </c>
      <c r="R22" s="2">
        <v>978.97335166695666</v>
      </c>
      <c r="S22" s="2">
        <v>0</v>
      </c>
      <c r="T22" s="2">
        <v>881.55035900188477</v>
      </c>
      <c r="U22" s="2">
        <v>2.2000000000000002</v>
      </c>
      <c r="V22" s="2">
        <v>1272.1914999999999</v>
      </c>
      <c r="W22" s="89">
        <f t="shared" si="0"/>
        <v>217806.33074960631</v>
      </c>
      <c r="X22" s="3"/>
      <c r="Y22" s="39">
        <v>9736.5697</v>
      </c>
      <c r="Z22" s="40"/>
      <c r="AA22" s="41">
        <v>0</v>
      </c>
      <c r="AB22" s="3"/>
      <c r="AC22" s="89">
        <f t="shared" si="3"/>
        <v>227542.9004496063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90674.339400000012</v>
      </c>
      <c r="C23" s="2">
        <v>17361.808083913878</v>
      </c>
      <c r="D23" s="89">
        <f t="shared" si="1"/>
        <v>108036.1474839139</v>
      </c>
      <c r="E23" s="2">
        <v>1.4499</v>
      </c>
      <c r="F23" s="89">
        <f t="shared" si="2"/>
        <v>108037.5973839139</v>
      </c>
      <c r="G23" s="2">
        <v>0</v>
      </c>
      <c r="H23" s="2">
        <v>0</v>
      </c>
      <c r="I23" s="2">
        <v>0</v>
      </c>
      <c r="J23" s="2">
        <v>851.7761999999999</v>
      </c>
      <c r="K23" s="2">
        <v>54.098800000000004</v>
      </c>
      <c r="L23" s="2">
        <v>0</v>
      </c>
      <c r="M23" s="2">
        <v>432.25910000000005</v>
      </c>
      <c r="N23" s="2">
        <v>311.22820000000002</v>
      </c>
      <c r="O23" s="2">
        <v>1322.0693999999999</v>
      </c>
      <c r="P23" s="2">
        <v>531.60863751458817</v>
      </c>
      <c r="Q23" s="2">
        <v>3764.0888999999997</v>
      </c>
      <c r="R23" s="2">
        <v>1225.4397072244797</v>
      </c>
      <c r="S23" s="2">
        <v>0</v>
      </c>
      <c r="T23" s="2">
        <v>782.83397365958228</v>
      </c>
      <c r="U23" s="2">
        <v>2.5</v>
      </c>
      <c r="V23" s="2">
        <v>668.42110000000002</v>
      </c>
      <c r="W23" s="89">
        <f t="shared" si="0"/>
        <v>117983.92140231254</v>
      </c>
      <c r="X23" s="3"/>
      <c r="Y23" s="39">
        <v>2777.0452599999999</v>
      </c>
      <c r="Z23" s="40"/>
      <c r="AA23" s="41">
        <v>0</v>
      </c>
      <c r="AB23" s="3"/>
      <c r="AC23" s="89">
        <f t="shared" si="3"/>
        <v>120760.96666231254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138374.12880000001</v>
      </c>
      <c r="C24" s="2">
        <v>18689.475760919249</v>
      </c>
      <c r="D24" s="89">
        <f t="shared" si="1"/>
        <v>157063.60456091925</v>
      </c>
      <c r="E24" s="2">
        <v>1.2167000000000001</v>
      </c>
      <c r="F24" s="89">
        <f t="shared" si="2"/>
        <v>157064.82126091924</v>
      </c>
      <c r="G24" s="2">
        <v>0</v>
      </c>
      <c r="H24" s="2">
        <v>0</v>
      </c>
      <c r="I24" s="2">
        <v>0</v>
      </c>
      <c r="J24" s="2">
        <v>1238.3173999999999</v>
      </c>
      <c r="K24" s="2">
        <v>0</v>
      </c>
      <c r="L24" s="2">
        <v>0</v>
      </c>
      <c r="M24" s="2">
        <v>0</v>
      </c>
      <c r="N24" s="2">
        <v>452.47970000000004</v>
      </c>
      <c r="O24" s="2">
        <v>1001.8749</v>
      </c>
      <c r="P24" s="2">
        <v>493.95958296059337</v>
      </c>
      <c r="Q24" s="2">
        <v>3939.1627999999996</v>
      </c>
      <c r="R24" s="2">
        <v>1108.0964051512613</v>
      </c>
      <c r="S24" s="2">
        <v>0</v>
      </c>
      <c r="T24" s="2">
        <v>727.39288991205137</v>
      </c>
      <c r="U24" s="2">
        <v>2.5</v>
      </c>
      <c r="V24" s="2">
        <v>971.78539999999998</v>
      </c>
      <c r="W24" s="89">
        <f t="shared" si="0"/>
        <v>167000.39033894314</v>
      </c>
      <c r="X24" s="3"/>
      <c r="Y24" s="39">
        <v>2681.9828859999998</v>
      </c>
      <c r="Z24" s="40"/>
      <c r="AA24" s="41">
        <v>0</v>
      </c>
      <c r="AB24" s="3"/>
      <c r="AC24" s="89">
        <f t="shared" si="3"/>
        <v>169682.37322494315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199784.0564</v>
      </c>
      <c r="C25" s="2">
        <v>38808.747481689643</v>
      </c>
      <c r="D25" s="89">
        <f t="shared" si="1"/>
        <v>238592.80388168964</v>
      </c>
      <c r="E25" s="2">
        <v>3.3167</v>
      </c>
      <c r="F25" s="89">
        <f t="shared" si="2"/>
        <v>238596.12058168964</v>
      </c>
      <c r="G25" s="2">
        <v>0</v>
      </c>
      <c r="H25" s="2">
        <v>0</v>
      </c>
      <c r="I25" s="2">
        <v>0</v>
      </c>
      <c r="J25" s="2">
        <v>1881.1081000000001</v>
      </c>
      <c r="K25" s="2">
        <v>0</v>
      </c>
      <c r="L25" s="2">
        <v>0</v>
      </c>
      <c r="M25" s="2">
        <v>0</v>
      </c>
      <c r="N25" s="2">
        <v>687.35519999999997</v>
      </c>
      <c r="O25" s="2">
        <v>1194.0227</v>
      </c>
      <c r="P25" s="2">
        <v>505.34166436417223</v>
      </c>
      <c r="Q25" s="2">
        <v>3501.4780000000001</v>
      </c>
      <c r="R25" s="2">
        <v>1276.8937844752516</v>
      </c>
      <c r="S25" s="2">
        <v>0</v>
      </c>
      <c r="T25" s="2">
        <v>744.15386668751603</v>
      </c>
      <c r="U25" s="2">
        <v>2.5</v>
      </c>
      <c r="V25" s="2">
        <v>1476.2248</v>
      </c>
      <c r="W25" s="89">
        <f t="shared" si="0"/>
        <v>249865.19869721661</v>
      </c>
      <c r="X25" s="3"/>
      <c r="Y25" s="39">
        <v>13640.116005999998</v>
      </c>
      <c r="Z25" s="40"/>
      <c r="AA25" s="41">
        <v>0</v>
      </c>
      <c r="AB25" s="3"/>
      <c r="AC25" s="89">
        <f t="shared" si="3"/>
        <v>263505.3147032166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184987.32930000001</v>
      </c>
      <c r="C26" s="2">
        <v>25429.942428791564</v>
      </c>
      <c r="D26" s="89">
        <f t="shared" si="1"/>
        <v>210417.27172879159</v>
      </c>
      <c r="E26" s="2">
        <v>2.5083000000000002</v>
      </c>
      <c r="F26" s="89">
        <f t="shared" si="2"/>
        <v>210419.78002879157</v>
      </c>
      <c r="G26" s="2">
        <v>0</v>
      </c>
      <c r="H26" s="2">
        <v>0</v>
      </c>
      <c r="I26" s="2">
        <v>0</v>
      </c>
      <c r="J26" s="2">
        <v>1658.9672</v>
      </c>
      <c r="K26" s="2">
        <v>0</v>
      </c>
      <c r="L26" s="2">
        <v>0</v>
      </c>
      <c r="M26" s="2">
        <v>0</v>
      </c>
      <c r="N26" s="2">
        <v>606.18180000000007</v>
      </c>
      <c r="O26" s="2">
        <v>889.6925</v>
      </c>
      <c r="P26" s="2">
        <v>468.16051115156517</v>
      </c>
      <c r="Q26" s="2">
        <v>3195.0987</v>
      </c>
      <c r="R26" s="2">
        <v>873.4633780395784</v>
      </c>
      <c r="S26" s="2">
        <v>0</v>
      </c>
      <c r="T26" s="2">
        <v>689.40180310919379</v>
      </c>
      <c r="U26" s="2">
        <v>2.2000000000000002</v>
      </c>
      <c r="V26" s="2">
        <v>1301.8896000000002</v>
      </c>
      <c r="W26" s="89">
        <f t="shared" si="0"/>
        <v>220104.83552109191</v>
      </c>
      <c r="X26" s="3"/>
      <c r="Y26" s="39">
        <v>3392.7533859999999</v>
      </c>
      <c r="Z26" s="40"/>
      <c r="AA26" s="41">
        <v>0</v>
      </c>
      <c r="AB26" s="3"/>
      <c r="AC26" s="89">
        <f t="shared" si="3"/>
        <v>223497.58890709191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127268.0184</v>
      </c>
      <c r="C27" s="2">
        <v>14808.601012750152</v>
      </c>
      <c r="D27" s="89">
        <f t="shared" si="1"/>
        <v>142076.61941275015</v>
      </c>
      <c r="E27" s="2">
        <v>1.5751000000000002</v>
      </c>
      <c r="F27" s="89">
        <f t="shared" si="2"/>
        <v>142078.19451275014</v>
      </c>
      <c r="G27" s="2">
        <v>0</v>
      </c>
      <c r="H27" s="2">
        <v>0</v>
      </c>
      <c r="I27" s="2">
        <v>0</v>
      </c>
      <c r="J27" s="2">
        <v>1120.1573999999998</v>
      </c>
      <c r="K27" s="2">
        <v>0</v>
      </c>
      <c r="L27" s="2">
        <v>0</v>
      </c>
      <c r="M27" s="2">
        <v>0</v>
      </c>
      <c r="N27" s="2">
        <v>409.29230000000001</v>
      </c>
      <c r="O27" s="2">
        <v>692.98830000000009</v>
      </c>
      <c r="P27" s="2">
        <v>458.62071801052531</v>
      </c>
      <c r="Q27" s="2">
        <v>3195.0987</v>
      </c>
      <c r="R27" s="2">
        <v>999.17398951115001</v>
      </c>
      <c r="S27" s="2">
        <v>0</v>
      </c>
      <c r="T27" s="2">
        <v>675.35373532528649</v>
      </c>
      <c r="U27" s="2">
        <v>2.2000000000000002</v>
      </c>
      <c r="V27" s="2">
        <v>879.03240000000005</v>
      </c>
      <c r="W27" s="89">
        <f t="shared" si="0"/>
        <v>150510.1120555971</v>
      </c>
      <c r="X27" s="3"/>
      <c r="Y27" s="39">
        <v>0</v>
      </c>
      <c r="Z27" s="40"/>
      <c r="AA27" s="41">
        <v>0</v>
      </c>
      <c r="AB27" s="3"/>
      <c r="AC27" s="89">
        <f t="shared" si="3"/>
        <v>150510.1120555971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90682.727499999994</v>
      </c>
      <c r="C28" s="2">
        <v>7761.7494963380586</v>
      </c>
      <c r="D28" s="89">
        <f t="shared" si="1"/>
        <v>98444.476996338053</v>
      </c>
      <c r="E28" s="2">
        <v>0.70829999999999993</v>
      </c>
      <c r="F28" s="89">
        <f t="shared" si="2"/>
        <v>98445.185296338052</v>
      </c>
      <c r="G28" s="2">
        <v>0</v>
      </c>
      <c r="H28" s="2">
        <v>0</v>
      </c>
      <c r="I28" s="2">
        <v>0</v>
      </c>
      <c r="J28" s="2">
        <v>776.15380000000005</v>
      </c>
      <c r="K28" s="2">
        <v>70.145099999999999</v>
      </c>
      <c r="L28" s="2">
        <v>0</v>
      </c>
      <c r="M28" s="2">
        <v>560.47239999999999</v>
      </c>
      <c r="N28" s="2">
        <v>283.60859999999997</v>
      </c>
      <c r="O28" s="2">
        <v>798.03269999999998</v>
      </c>
      <c r="P28" s="2">
        <v>645.30514695945431</v>
      </c>
      <c r="Q28" s="2">
        <v>2801.1823999999997</v>
      </c>
      <c r="R28" s="2">
        <v>2228.4376403339697</v>
      </c>
      <c r="S28" s="2">
        <v>0</v>
      </c>
      <c r="T28" s="2">
        <v>950.2606932396219</v>
      </c>
      <c r="U28" s="2">
        <v>3</v>
      </c>
      <c r="V28" s="2">
        <v>609.1028</v>
      </c>
      <c r="W28" s="89">
        <f t="shared" si="0"/>
        <v>108170.88657687108</v>
      </c>
      <c r="X28" s="3"/>
      <c r="Y28" s="39">
        <v>571.33064999999999</v>
      </c>
      <c r="Z28" s="40"/>
      <c r="AA28" s="41">
        <v>0</v>
      </c>
      <c r="AB28" s="3"/>
      <c r="AC28" s="89">
        <f t="shared" si="3"/>
        <v>108742.21722687109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498771.60239999997</v>
      </c>
      <c r="C29" s="2">
        <v>68425.949507190438</v>
      </c>
      <c r="D29" s="89">
        <f t="shared" si="1"/>
        <v>567197.55190719035</v>
      </c>
      <c r="E29" s="2">
        <v>11.290799999999999</v>
      </c>
      <c r="F29" s="89">
        <f t="shared" si="2"/>
        <v>567208.84270719031</v>
      </c>
      <c r="G29" s="2">
        <v>0</v>
      </c>
      <c r="H29" s="2">
        <v>0</v>
      </c>
      <c r="I29" s="2">
        <v>0</v>
      </c>
      <c r="J29" s="2">
        <v>4471.0140999999994</v>
      </c>
      <c r="K29" s="2">
        <v>964.34910000000002</v>
      </c>
      <c r="L29" s="2">
        <v>1.3000000000000003E-7</v>
      </c>
      <c r="M29" s="2">
        <v>7707.0168000000003</v>
      </c>
      <c r="N29" s="2">
        <v>1633.7139</v>
      </c>
      <c r="O29" s="2">
        <v>3445.6047000000003</v>
      </c>
      <c r="P29" s="2">
        <v>406.59923509107614</v>
      </c>
      <c r="Q29" s="2">
        <v>5041.6610999999994</v>
      </c>
      <c r="R29" s="2">
        <v>727.04643315621161</v>
      </c>
      <c r="S29" s="2">
        <v>0</v>
      </c>
      <c r="T29" s="2">
        <v>598.74816250412323</v>
      </c>
      <c r="U29" s="2">
        <v>0.5</v>
      </c>
      <c r="V29" s="2">
        <v>3508.6855</v>
      </c>
      <c r="W29" s="89">
        <f t="shared" si="0"/>
        <v>595713.78173807194</v>
      </c>
      <c r="X29" s="3"/>
      <c r="Y29" s="39">
        <v>8553.6952160000001</v>
      </c>
      <c r="Z29" s="40"/>
      <c r="AA29" s="41">
        <v>0</v>
      </c>
      <c r="AB29" s="3"/>
      <c r="AC29" s="89">
        <f t="shared" si="3"/>
        <v>604267.4769540719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223065.81899999999</v>
      </c>
      <c r="C30" s="2">
        <v>34110.846470748838</v>
      </c>
      <c r="D30" s="89">
        <f t="shared" si="1"/>
        <v>257176.66547074882</v>
      </c>
      <c r="E30" s="2">
        <v>2.6333000000000002</v>
      </c>
      <c r="F30" s="89">
        <f t="shared" si="2"/>
        <v>257179.29877074881</v>
      </c>
      <c r="G30" s="2">
        <v>0</v>
      </c>
      <c r="H30" s="2">
        <v>0</v>
      </c>
      <c r="I30" s="2">
        <v>0</v>
      </c>
      <c r="J30" s="2">
        <v>2027.6266000000001</v>
      </c>
      <c r="K30" s="2">
        <v>0</v>
      </c>
      <c r="L30" s="2">
        <v>0</v>
      </c>
      <c r="M30" s="2">
        <v>0</v>
      </c>
      <c r="N30" s="2">
        <v>740.89089999999999</v>
      </c>
      <c r="O30" s="2">
        <v>1381.4494</v>
      </c>
      <c r="P30" s="2">
        <v>542.1252773236024</v>
      </c>
      <c r="Q30" s="2">
        <v>3764.0888999999997</v>
      </c>
      <c r="R30" s="2">
        <v>974.23933697520147</v>
      </c>
      <c r="S30" s="2">
        <v>0</v>
      </c>
      <c r="T30" s="2">
        <v>798.32052213892246</v>
      </c>
      <c r="U30" s="2">
        <v>2.2000000000000002</v>
      </c>
      <c r="V30" s="2">
        <v>1591.2027</v>
      </c>
      <c r="W30" s="89">
        <f t="shared" si="0"/>
        <v>269001.44240718655</v>
      </c>
      <c r="X30" s="3"/>
      <c r="Y30" s="39">
        <v>8647.3119700000007</v>
      </c>
      <c r="Z30" s="40"/>
      <c r="AA30" s="41">
        <v>0</v>
      </c>
      <c r="AB30" s="3"/>
      <c r="AC30" s="89">
        <f t="shared" si="3"/>
        <v>277648.75437718653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253759.58960000001</v>
      </c>
      <c r="C31" s="2">
        <v>42383.237381319945</v>
      </c>
      <c r="D31" s="89">
        <f t="shared" si="1"/>
        <v>296142.82698131993</v>
      </c>
      <c r="E31" s="2">
        <v>4.6500000000000004</v>
      </c>
      <c r="F31" s="89">
        <f t="shared" si="2"/>
        <v>296147.47698131995</v>
      </c>
      <c r="G31" s="2">
        <v>0</v>
      </c>
      <c r="H31" s="2">
        <v>0</v>
      </c>
      <c r="I31" s="2">
        <v>0</v>
      </c>
      <c r="J31" s="2">
        <v>2334.8427999999999</v>
      </c>
      <c r="K31" s="2">
        <v>0</v>
      </c>
      <c r="L31" s="2">
        <v>0</v>
      </c>
      <c r="M31" s="2">
        <v>0</v>
      </c>
      <c r="N31" s="2">
        <v>853.14549999999997</v>
      </c>
      <c r="O31" s="2">
        <v>1186.3642</v>
      </c>
      <c r="P31" s="2">
        <v>417.55445910142191</v>
      </c>
      <c r="Q31" s="2">
        <v>3676.5518999999999</v>
      </c>
      <c r="R31" s="2">
        <v>1046.7530161311565</v>
      </c>
      <c r="S31" s="2">
        <v>0</v>
      </c>
      <c r="T31" s="2">
        <v>614.88055947739406</v>
      </c>
      <c r="U31" s="2">
        <v>2.2000000000000002</v>
      </c>
      <c r="V31" s="2">
        <v>1832.2905000000001</v>
      </c>
      <c r="W31" s="89">
        <f t="shared" si="0"/>
        <v>308112.05991602992</v>
      </c>
      <c r="X31" s="3"/>
      <c r="Y31" s="39">
        <v>10501.901607999998</v>
      </c>
      <c r="Z31" s="40"/>
      <c r="AA31" s="41">
        <v>0</v>
      </c>
      <c r="AB31" s="3"/>
      <c r="AC31" s="89">
        <f t="shared" si="3"/>
        <v>318613.9615240299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72891.404399999999</v>
      </c>
      <c r="C32" s="2">
        <v>3880.8747481690293</v>
      </c>
      <c r="D32" s="89">
        <f t="shared" si="1"/>
        <v>76772.279148169022</v>
      </c>
      <c r="E32" s="2">
        <v>1</v>
      </c>
      <c r="F32" s="89">
        <f t="shared" si="2"/>
        <v>76773.279148169022</v>
      </c>
      <c r="G32" s="2">
        <v>0</v>
      </c>
      <c r="H32" s="2">
        <v>0</v>
      </c>
      <c r="I32" s="2">
        <v>0</v>
      </c>
      <c r="J32" s="2">
        <v>605.28390000000002</v>
      </c>
      <c r="K32" s="2">
        <v>6.2220000000000004</v>
      </c>
      <c r="L32" s="2">
        <v>0</v>
      </c>
      <c r="M32" s="2">
        <v>49.715000000000003</v>
      </c>
      <c r="N32" s="2">
        <v>221.17439999999999</v>
      </c>
      <c r="O32" s="2">
        <v>624.61450000000002</v>
      </c>
      <c r="P32" s="2">
        <v>474.55281754602868</v>
      </c>
      <c r="Q32" s="2">
        <v>2319.7292000000002</v>
      </c>
      <c r="R32" s="2">
        <v>699.3927090518124</v>
      </c>
      <c r="S32" s="2">
        <v>0</v>
      </c>
      <c r="T32" s="2">
        <v>698.81495830961501</v>
      </c>
      <c r="U32" s="2">
        <v>3</v>
      </c>
      <c r="V32" s="2">
        <v>475.0138</v>
      </c>
      <c r="W32" s="89">
        <f t="shared" si="0"/>
        <v>82950.792433076465</v>
      </c>
      <c r="X32" s="3"/>
      <c r="Y32" s="39">
        <v>224.33409746000001</v>
      </c>
      <c r="Z32" s="40"/>
      <c r="AA32" s="43">
        <v>0</v>
      </c>
      <c r="AB32" s="3"/>
      <c r="AC32" s="89">
        <f t="shared" si="3"/>
        <v>83175.126530536465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5336722.7440999998</v>
      </c>
      <c r="C33" s="83">
        <f>SUM(C10:C32)</f>
        <v>967359.09512254514</v>
      </c>
      <c r="D33" s="83">
        <f>SUM(D10:D32)</f>
        <v>6304081.8392225448</v>
      </c>
      <c r="E33" s="83">
        <f t="shared" ref="E33:W33" si="4">SUM(E10:E32)</f>
        <v>107.0158</v>
      </c>
      <c r="F33" s="83">
        <f>SUM(F10:F32)</f>
        <v>6304188.855022544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49701.445299999999</v>
      </c>
      <c r="K33" s="83">
        <f t="shared" si="4"/>
        <v>5802.2421999999988</v>
      </c>
      <c r="L33" s="83">
        <f t="shared" si="4"/>
        <v>1.6000000000000003E-7</v>
      </c>
      <c r="M33" s="83">
        <f t="shared" si="4"/>
        <v>46362.8246</v>
      </c>
      <c r="N33" s="83">
        <f t="shared" si="4"/>
        <v>18160.686699999995</v>
      </c>
      <c r="O33" s="83">
        <f t="shared" si="4"/>
        <v>36332.129699999998</v>
      </c>
      <c r="P33" s="83">
        <f t="shared" si="4"/>
        <v>11726.850820820002</v>
      </c>
      <c r="Q33" s="83">
        <f t="shared" si="4"/>
        <v>86528.713300000018</v>
      </c>
      <c r="R33" s="83">
        <f>SUM(R10:R32)</f>
        <v>25897.627373959996</v>
      </c>
      <c r="S33" s="83">
        <f t="shared" si="4"/>
        <v>0</v>
      </c>
      <c r="T33" s="83">
        <f t="shared" si="4"/>
        <v>17268.675823950001</v>
      </c>
      <c r="U33" s="83">
        <f t="shared" si="4"/>
        <v>45.800000000000004</v>
      </c>
      <c r="V33" s="83">
        <f t="shared" si="4"/>
        <v>39003.466500000002</v>
      </c>
      <c r="W33" s="83">
        <f t="shared" si="4"/>
        <v>6641019.3173414348</v>
      </c>
      <c r="X33" s="48"/>
      <c r="Y33" s="95">
        <f>SUM(Y10:Y32)</f>
        <v>282215.34031746001</v>
      </c>
      <c r="Z33" s="40"/>
      <c r="AA33" s="101">
        <f>SUM(AA10:AA32)</f>
        <v>0</v>
      </c>
      <c r="AB33" s="6"/>
      <c r="AC33" s="93">
        <f>SUM(AC10:AC32)</f>
        <v>6923234.6576588945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99290.758300000001</v>
      </c>
      <c r="C34" s="2">
        <v>54255.800032284234</v>
      </c>
      <c r="D34" s="89">
        <f>B34+C34</f>
        <v>153546.55833228424</v>
      </c>
      <c r="E34" s="2">
        <v>0</v>
      </c>
      <c r="F34" s="89">
        <f>D34+E34</f>
        <v>153546.55833228424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1137.9803999999999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154684.53873228424</v>
      </c>
      <c r="X34" s="3"/>
      <c r="Y34" s="39"/>
      <c r="Z34" s="40"/>
      <c r="AA34" s="97">
        <v>0</v>
      </c>
      <c r="AB34" s="3"/>
      <c r="AC34" s="89">
        <f>+W34+Y34+AA34</f>
        <v>154684.53873228424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4413366.7905000001</v>
      </c>
      <c r="C36" s="2">
        <v>0</v>
      </c>
      <c r="D36" s="89">
        <f>B36+C36</f>
        <v>4413366.7905000001</v>
      </c>
      <c r="E36" s="2">
        <v>0</v>
      </c>
      <c r="F36" s="89">
        <f>D36+E36</f>
        <v>4413366.7905000001</v>
      </c>
      <c r="G36" s="2">
        <v>0</v>
      </c>
      <c r="H36" s="2">
        <v>0</v>
      </c>
      <c r="I36" s="2">
        <v>0</v>
      </c>
      <c r="J36" s="2">
        <v>36005.743499999997</v>
      </c>
      <c r="K36" s="2">
        <v>0</v>
      </c>
      <c r="L36" s="2">
        <v>0</v>
      </c>
      <c r="M36" s="2">
        <v>0</v>
      </c>
      <c r="N36" s="2">
        <v>0</v>
      </c>
      <c r="O36" s="2">
        <v>60410.370499999997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4509782.9045000002</v>
      </c>
      <c r="X36" s="3"/>
      <c r="Y36" s="39">
        <f>-SUM(Y33)</f>
        <v>-282215.34031746001</v>
      </c>
      <c r="Z36" s="40"/>
      <c r="AA36" s="41">
        <f>-(AA33+AA34)</f>
        <v>0</v>
      </c>
      <c r="AB36" s="3"/>
      <c r="AC36" s="89">
        <f>+W36+Y36+AA36</f>
        <v>4227567.5641825404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690904.5597000001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90819.851500000004</v>
      </c>
      <c r="W37" s="89">
        <f>SUM(F37:V37)</f>
        <v>781724.41120000009</v>
      </c>
      <c r="X37" s="3"/>
      <c r="Y37" s="39"/>
      <c r="Z37" s="40"/>
      <c r="AA37" s="41"/>
      <c r="AB37" s="3"/>
      <c r="AC37" s="89">
        <f t="shared" si="3"/>
        <v>781724.41120000009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109676.11309999999</v>
      </c>
      <c r="C38" s="37">
        <v>0</v>
      </c>
      <c r="D38" s="89">
        <f>B38+C38</f>
        <v>109676.11309999999</v>
      </c>
      <c r="E38" s="37">
        <v>0</v>
      </c>
      <c r="F38" s="89">
        <f>D38+E38</f>
        <v>109676.11309999999</v>
      </c>
      <c r="G38" s="37">
        <v>0</v>
      </c>
      <c r="H38" s="37">
        <v>0</v>
      </c>
      <c r="I38" s="37">
        <v>0</v>
      </c>
      <c r="J38" s="37">
        <v>864.69119999999998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110540.80429999999</v>
      </c>
      <c r="X38" s="3"/>
      <c r="Y38" s="42"/>
      <c r="Z38" s="40"/>
      <c r="AA38" s="43"/>
      <c r="AB38" s="3"/>
      <c r="AC38" s="90">
        <f t="shared" si="3"/>
        <v>110540.80429999999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9959102.2060000002</v>
      </c>
      <c r="C39" s="85">
        <f>+SUM(C33:C38)</f>
        <v>1021614.8951548294</v>
      </c>
      <c r="D39" s="85">
        <f>+SUM(D33:D38)</f>
        <v>10980717.101154828</v>
      </c>
      <c r="E39" s="85">
        <f t="shared" ref="E39:V39" si="5">+SUM(E33:E38)</f>
        <v>107.0158</v>
      </c>
      <c r="F39" s="85">
        <f>SUM(F33:F38)</f>
        <v>10980824.116954828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86571.88</v>
      </c>
      <c r="K39" s="85">
        <f t="shared" si="5"/>
        <v>5802.2421999999988</v>
      </c>
      <c r="L39" s="85">
        <f t="shared" si="5"/>
        <v>1.6000000000000003E-7</v>
      </c>
      <c r="M39" s="85">
        <f t="shared" si="5"/>
        <v>737267.38430000015</v>
      </c>
      <c r="N39" s="85">
        <f t="shared" si="5"/>
        <v>18160.686699999995</v>
      </c>
      <c r="O39" s="85">
        <f t="shared" si="5"/>
        <v>96742.500199999995</v>
      </c>
      <c r="P39" s="85">
        <f t="shared" si="5"/>
        <v>11726.850820820002</v>
      </c>
      <c r="Q39" s="85">
        <f t="shared" si="5"/>
        <v>87666.693700000018</v>
      </c>
      <c r="R39" s="85">
        <f t="shared" si="5"/>
        <v>25897.627373959996</v>
      </c>
      <c r="S39" s="85">
        <f t="shared" si="5"/>
        <v>0</v>
      </c>
      <c r="T39" s="85">
        <f t="shared" si="5"/>
        <v>17268.675823950001</v>
      </c>
      <c r="U39" s="85">
        <f t="shared" si="5"/>
        <v>45.800000000000004</v>
      </c>
      <c r="V39" s="85">
        <f t="shared" si="5"/>
        <v>129823.318</v>
      </c>
      <c r="W39" s="85">
        <f>+SUM(W33:W38)</f>
        <v>12197751.97607372</v>
      </c>
      <c r="X39" s="47"/>
      <c r="Y39" s="46">
        <f>+SUM(Y33:Y38)</f>
        <v>0</v>
      </c>
      <c r="Z39" s="49"/>
      <c r="AA39" s="102"/>
      <c r="AB39" s="7"/>
      <c r="AC39" s="94">
        <f>+SUM(AC33:AC38)</f>
        <v>12197751.97607372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>
        <v>0</v>
      </c>
      <c r="Y40" s="116">
        <v>0</v>
      </c>
      <c r="Z40" s="116">
        <v>0</v>
      </c>
      <c r="AA40" s="116">
        <v>0</v>
      </c>
      <c r="AB40" s="116">
        <v>0</v>
      </c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>
        <f>B42/1000</f>
        <v>0</v>
      </c>
      <c r="C41" s="116">
        <f>C42/1000</f>
        <v>0</v>
      </c>
      <c r="D41" s="116"/>
      <c r="E41" s="116">
        <f t="shared" ref="E41:W41" si="6">E42/1000</f>
        <v>0</v>
      </c>
      <c r="F41" s="116">
        <f t="shared" si="6"/>
        <v>0</v>
      </c>
      <c r="G41" s="116">
        <f t="shared" si="6"/>
        <v>0</v>
      </c>
      <c r="H41" s="116">
        <f t="shared" si="6"/>
        <v>0</v>
      </c>
      <c r="I41" s="116">
        <f t="shared" si="6"/>
        <v>0</v>
      </c>
      <c r="J41" s="116">
        <f t="shared" si="6"/>
        <v>0</v>
      </c>
      <c r="K41" s="116">
        <f t="shared" si="6"/>
        <v>0</v>
      </c>
      <c r="L41" s="116">
        <f t="shared" si="6"/>
        <v>0</v>
      </c>
      <c r="M41" s="116">
        <f t="shared" si="6"/>
        <v>0</v>
      </c>
      <c r="N41" s="116">
        <f t="shared" si="6"/>
        <v>0</v>
      </c>
      <c r="O41" s="116">
        <f t="shared" si="6"/>
        <v>0</v>
      </c>
      <c r="P41" s="116">
        <f t="shared" si="6"/>
        <v>0</v>
      </c>
      <c r="Q41" s="116">
        <f t="shared" si="6"/>
        <v>0</v>
      </c>
      <c r="R41" s="116">
        <f t="shared" si="6"/>
        <v>0</v>
      </c>
      <c r="S41" s="116">
        <f t="shared" si="6"/>
        <v>0</v>
      </c>
      <c r="T41" s="116">
        <f t="shared" si="6"/>
        <v>0</v>
      </c>
      <c r="U41" s="116">
        <f t="shared" si="6"/>
        <v>0</v>
      </c>
      <c r="V41" s="116">
        <f t="shared" si="6"/>
        <v>0</v>
      </c>
      <c r="W41" s="116">
        <f t="shared" si="6"/>
        <v>0</v>
      </c>
      <c r="X41" s="116">
        <f t="shared" ref="X41:AB41" si="7">X40/1000</f>
        <v>0</v>
      </c>
      <c r="Y41" s="116">
        <f t="shared" si="7"/>
        <v>0</v>
      </c>
      <c r="Z41" s="116">
        <f t="shared" si="7"/>
        <v>0</v>
      </c>
      <c r="AA41" s="116">
        <f t="shared" si="7"/>
        <v>0</v>
      </c>
      <c r="AB41" s="116">
        <f t="shared" si="7"/>
        <v>0</v>
      </c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4674205.4400000004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5963871.7522999998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294385.71799999999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220.54400000000001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16052.284900000001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18921.3691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13167.008654829026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10980824.11695483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10980778.316954829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W33 AC33 D33 F33 F39" formula="1"/>
    <ignoredError sqref="W9:Y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DFCE-3CB0-4247-BD15-E4FD489F9497}">
  <sheetPr>
    <pageSetUpPr fitToPage="1"/>
  </sheetPr>
  <dimension ref="A1:AZ77"/>
  <sheetViews>
    <sheetView showGridLines="0" showZeros="0" topLeftCell="J19" zoomScaleNormal="100" workbookViewId="0">
      <selection activeCell="C33" sqref="C33:C34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1098489.9526</v>
      </c>
      <c r="C10" s="2">
        <v>322094.03531932476</v>
      </c>
      <c r="D10" s="89">
        <f>B10+C10</f>
        <v>1420583.9879193248</v>
      </c>
      <c r="E10" s="2">
        <v>35.008399999999995</v>
      </c>
      <c r="F10" s="89">
        <f>D10+E10</f>
        <v>1420618.9963193247</v>
      </c>
      <c r="G10" s="2">
        <v>0</v>
      </c>
      <c r="H10" s="2">
        <v>0</v>
      </c>
      <c r="I10" s="2">
        <v>0</v>
      </c>
      <c r="J10" s="2">
        <v>14007.188199999999</v>
      </c>
      <c r="K10" s="2">
        <v>3334.7021</v>
      </c>
      <c r="L10" s="2">
        <v>0</v>
      </c>
      <c r="M10" s="2">
        <v>20949.1682</v>
      </c>
      <c r="N10" s="2">
        <v>3897.0108999999998</v>
      </c>
      <c r="O10" s="2">
        <v>8393.9565999999995</v>
      </c>
      <c r="P10" s="2">
        <v>209.80808101024905</v>
      </c>
      <c r="Q10" s="2">
        <v>12560.835800000001</v>
      </c>
      <c r="R10" s="2">
        <v>424.66203361980558</v>
      </c>
      <c r="S10" s="2">
        <v>0</v>
      </c>
      <c r="T10" s="2">
        <v>308.98301252109343</v>
      </c>
      <c r="U10" s="2">
        <v>0</v>
      </c>
      <c r="V10" s="2">
        <v>8626.1748000000007</v>
      </c>
      <c r="W10" s="89">
        <f t="shared" ref="W10:W32" si="0">SUM(F10:V10)</f>
        <v>1493331.4860464761</v>
      </c>
      <c r="X10" s="3"/>
      <c r="Y10" s="39">
        <v>155008.49569800001</v>
      </c>
      <c r="Z10" s="40"/>
      <c r="AA10" s="97">
        <v>0</v>
      </c>
      <c r="AB10" s="3"/>
      <c r="AC10" s="89">
        <f>+W10+Y10+AA10</f>
        <v>1648339.9817444761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163163.78869999998</v>
      </c>
      <c r="C11" s="2">
        <v>15012.857578443331</v>
      </c>
      <c r="D11" s="89">
        <f t="shared" ref="D11:D32" si="1">B11+C11</f>
        <v>178176.64627844331</v>
      </c>
      <c r="E11" s="2">
        <v>1.7832999999999999</v>
      </c>
      <c r="F11" s="89">
        <f t="shared" ref="F11:F32" si="2">D11+E11</f>
        <v>178178.42957844332</v>
      </c>
      <c r="G11" s="2">
        <v>0</v>
      </c>
      <c r="H11" s="2">
        <v>0</v>
      </c>
      <c r="I11" s="2">
        <v>0</v>
      </c>
      <c r="J11" s="2">
        <v>1756.8506</v>
      </c>
      <c r="K11" s="2">
        <v>0</v>
      </c>
      <c r="L11" s="2">
        <v>0</v>
      </c>
      <c r="M11" s="2">
        <v>0</v>
      </c>
      <c r="N11" s="2">
        <v>488.78980000000001</v>
      </c>
      <c r="O11" s="2">
        <v>861.70590000000004</v>
      </c>
      <c r="P11" s="2">
        <v>316.21129093962463</v>
      </c>
      <c r="Q11" s="2">
        <v>1819.1555000000001</v>
      </c>
      <c r="R11" s="2">
        <v>610.98890027996697</v>
      </c>
      <c r="S11" s="2">
        <v>0</v>
      </c>
      <c r="T11" s="2">
        <v>465.68233597134002</v>
      </c>
      <c r="U11" s="2">
        <v>2.2000000000000002</v>
      </c>
      <c r="V11" s="2">
        <v>1081.9539</v>
      </c>
      <c r="W11" s="89">
        <f t="shared" si="0"/>
        <v>185581.96780563425</v>
      </c>
      <c r="X11" s="3"/>
      <c r="Y11" s="39">
        <v>1587.151734</v>
      </c>
      <c r="Z11" s="40"/>
      <c r="AA11" s="41">
        <v>0</v>
      </c>
      <c r="AB11" s="3"/>
      <c r="AC11" s="89">
        <f t="shared" ref="AC11:AC38" si="3">+W11+Y11+AA11</f>
        <v>187169.11953963427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505381.48540000001</v>
      </c>
      <c r="C12" s="2">
        <v>69020.150425570304</v>
      </c>
      <c r="D12" s="89">
        <f t="shared" si="1"/>
        <v>574401.63582557032</v>
      </c>
      <c r="E12" s="2">
        <v>10.441700000000001</v>
      </c>
      <c r="F12" s="89">
        <f>D12+E12</f>
        <v>574412.07752557029</v>
      </c>
      <c r="G12" s="2">
        <v>0</v>
      </c>
      <c r="H12" s="2">
        <v>0</v>
      </c>
      <c r="I12" s="2">
        <v>0</v>
      </c>
      <c r="J12" s="2">
        <v>5663.6932000000006</v>
      </c>
      <c r="K12" s="2">
        <v>1138.8151</v>
      </c>
      <c r="L12" s="2">
        <v>0</v>
      </c>
      <c r="M12" s="2">
        <v>7154.2307999999994</v>
      </c>
      <c r="N12" s="2">
        <v>1575.7346</v>
      </c>
      <c r="O12" s="2">
        <v>3772.0572000000002</v>
      </c>
      <c r="P12" s="2">
        <v>209.80808101024905</v>
      </c>
      <c r="Q12" s="2">
        <v>4894.3945999999996</v>
      </c>
      <c r="R12" s="2">
        <v>399.9552584705649</v>
      </c>
      <c r="S12" s="2">
        <v>0</v>
      </c>
      <c r="T12" s="2">
        <v>308.98301252109343</v>
      </c>
      <c r="U12" s="2">
        <v>0.5</v>
      </c>
      <c r="V12" s="2">
        <v>3487.9457000000002</v>
      </c>
      <c r="W12" s="89">
        <f t="shared" si="0"/>
        <v>603018.19507757225</v>
      </c>
      <c r="X12" s="3"/>
      <c r="Y12" s="39">
        <v>8164.0823460000001</v>
      </c>
      <c r="Z12" s="40"/>
      <c r="AA12" s="41">
        <v>0</v>
      </c>
      <c r="AB12" s="3"/>
      <c r="AC12" s="89">
        <f t="shared" si="3"/>
        <v>611182.27742357226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209085.6525</v>
      </c>
      <c r="C13" s="2">
        <v>31390.520391290436</v>
      </c>
      <c r="D13" s="89">
        <f t="shared" si="1"/>
        <v>240476.17289129042</v>
      </c>
      <c r="E13" s="2">
        <v>3.2166999999999999</v>
      </c>
      <c r="F13" s="89">
        <f t="shared" si="2"/>
        <v>240479.38959129041</v>
      </c>
      <c r="G13" s="2">
        <v>0</v>
      </c>
      <c r="H13" s="2">
        <v>0</v>
      </c>
      <c r="I13" s="2">
        <v>0</v>
      </c>
      <c r="J13" s="2">
        <v>2371.134</v>
      </c>
      <c r="K13" s="2">
        <v>364.14029999999997</v>
      </c>
      <c r="L13" s="2">
        <v>0</v>
      </c>
      <c r="M13" s="2">
        <v>2287.5915</v>
      </c>
      <c r="N13" s="2">
        <v>659.68869999999993</v>
      </c>
      <c r="O13" s="2">
        <v>1111.0983999999999</v>
      </c>
      <c r="P13" s="2">
        <v>265.61591109108872</v>
      </c>
      <c r="Q13" s="2">
        <v>4288.0094000000008</v>
      </c>
      <c r="R13" s="2">
        <v>574.64822453496311</v>
      </c>
      <c r="S13" s="2">
        <v>0</v>
      </c>
      <c r="T13" s="2">
        <v>391.17084522723826</v>
      </c>
      <c r="U13" s="2">
        <v>1.5</v>
      </c>
      <c r="V13" s="2">
        <v>1460.2447999999999</v>
      </c>
      <c r="W13" s="89">
        <f t="shared" si="0"/>
        <v>254254.23167214368</v>
      </c>
      <c r="X13" s="3"/>
      <c r="Y13" s="39">
        <v>8958.4566960000011</v>
      </c>
      <c r="Z13" s="40"/>
      <c r="AA13" s="41">
        <v>0</v>
      </c>
      <c r="AB13" s="3"/>
      <c r="AC13" s="89">
        <f t="shared" si="3"/>
        <v>263212.68836814369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286641.69549999997</v>
      </c>
      <c r="C14" s="2">
        <v>36069.852623532344</v>
      </c>
      <c r="D14" s="89">
        <f t="shared" si="1"/>
        <v>322711.54812353232</v>
      </c>
      <c r="E14" s="2">
        <v>2.8</v>
      </c>
      <c r="F14" s="89">
        <f t="shared" si="2"/>
        <v>322714.34812353231</v>
      </c>
      <c r="G14" s="2">
        <v>0</v>
      </c>
      <c r="H14" s="2">
        <v>0</v>
      </c>
      <c r="I14" s="2">
        <v>0</v>
      </c>
      <c r="J14" s="2">
        <v>3181.9881</v>
      </c>
      <c r="K14" s="2">
        <v>286.27609999999999</v>
      </c>
      <c r="L14" s="2">
        <v>0</v>
      </c>
      <c r="M14" s="2">
        <v>1798.4353999999998</v>
      </c>
      <c r="N14" s="2">
        <v>885.28809999999999</v>
      </c>
      <c r="O14" s="2">
        <v>1124.6875</v>
      </c>
      <c r="P14" s="2">
        <v>282.10707738400049</v>
      </c>
      <c r="Q14" s="2">
        <v>3984.8168999999998</v>
      </c>
      <c r="R14" s="2">
        <v>585.23302214321916</v>
      </c>
      <c r="S14" s="2">
        <v>0</v>
      </c>
      <c r="T14" s="2">
        <v>415.45727983963349</v>
      </c>
      <c r="U14" s="2">
        <v>0.5</v>
      </c>
      <c r="V14" s="2">
        <v>1959.6173000000001</v>
      </c>
      <c r="W14" s="89">
        <f t="shared" si="0"/>
        <v>337218.75490289915</v>
      </c>
      <c r="X14" s="3"/>
      <c r="Y14" s="39">
        <v>10996.545357000001</v>
      </c>
      <c r="Z14" s="40"/>
      <c r="AA14" s="41">
        <v>0</v>
      </c>
      <c r="AB14" s="3"/>
      <c r="AC14" s="89">
        <f t="shared" si="3"/>
        <v>348215.30025989917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87683.258600000001</v>
      </c>
      <c r="C15" s="2">
        <v>14622.913225756532</v>
      </c>
      <c r="D15" s="89">
        <f t="shared" si="1"/>
        <v>102306.17182575654</v>
      </c>
      <c r="E15" s="2">
        <v>2.0167000000000002</v>
      </c>
      <c r="F15" s="89">
        <f t="shared" si="2"/>
        <v>102308.18852575653</v>
      </c>
      <c r="G15" s="2">
        <v>0</v>
      </c>
      <c r="H15" s="2">
        <v>0</v>
      </c>
      <c r="I15" s="2">
        <v>0</v>
      </c>
      <c r="J15" s="2">
        <v>1008.7554</v>
      </c>
      <c r="K15" s="2">
        <v>111.9858</v>
      </c>
      <c r="L15" s="2">
        <v>0</v>
      </c>
      <c r="M15" s="2">
        <v>703.51419999999996</v>
      </c>
      <c r="N15" s="2">
        <v>280.65870000000001</v>
      </c>
      <c r="O15" s="2">
        <v>981.05889999999999</v>
      </c>
      <c r="P15" s="2">
        <v>295.78446451541021</v>
      </c>
      <c r="Q15" s="2">
        <v>2772.0464999999999</v>
      </c>
      <c r="R15" s="2">
        <v>862.3818827697246</v>
      </c>
      <c r="S15" s="2">
        <v>0</v>
      </c>
      <c r="T15" s="2">
        <v>435.59987997781508</v>
      </c>
      <c r="U15" s="2">
        <v>3</v>
      </c>
      <c r="V15" s="2">
        <v>621.24810000000002</v>
      </c>
      <c r="W15" s="89">
        <f t="shared" si="0"/>
        <v>110384.22235301948</v>
      </c>
      <c r="X15" s="3"/>
      <c r="Y15" s="39">
        <v>2187.3000240000001</v>
      </c>
      <c r="Z15" s="40"/>
      <c r="AA15" s="41">
        <v>0</v>
      </c>
      <c r="AB15" s="3"/>
      <c r="AC15" s="89">
        <f t="shared" si="3"/>
        <v>112571.52237701947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285345.4546</v>
      </c>
      <c r="C16" s="2">
        <v>30513.145597745028</v>
      </c>
      <c r="D16" s="89">
        <f t="shared" si="1"/>
        <v>315858.60019774502</v>
      </c>
      <c r="E16" s="2">
        <v>5.6249000000000002</v>
      </c>
      <c r="F16" s="89">
        <f t="shared" si="2"/>
        <v>315864.22509774502</v>
      </c>
      <c r="G16" s="2">
        <v>0</v>
      </c>
      <c r="H16" s="2">
        <v>0</v>
      </c>
      <c r="I16" s="2">
        <v>0</v>
      </c>
      <c r="J16" s="2">
        <v>3114.4169999999999</v>
      </c>
      <c r="K16" s="2">
        <v>494.22059999999999</v>
      </c>
      <c r="L16" s="2">
        <v>0</v>
      </c>
      <c r="M16" s="2">
        <v>3104.7786000000001</v>
      </c>
      <c r="N16" s="2">
        <v>866.47469999999998</v>
      </c>
      <c r="O16" s="2">
        <v>1416.0495000000001</v>
      </c>
      <c r="P16" s="2">
        <v>242.78073176787251</v>
      </c>
      <c r="Q16" s="2">
        <v>3378.4317000000001</v>
      </c>
      <c r="R16" s="2">
        <v>558.87261203358617</v>
      </c>
      <c r="S16" s="2">
        <v>0</v>
      </c>
      <c r="T16" s="2">
        <v>357.54162338885595</v>
      </c>
      <c r="U16" s="2">
        <v>1.8</v>
      </c>
      <c r="V16" s="2">
        <v>1917.9731000000002</v>
      </c>
      <c r="W16" s="89">
        <f t="shared" si="0"/>
        <v>331317.56526493543</v>
      </c>
      <c r="X16" s="3"/>
      <c r="Y16" s="39">
        <v>5461.5189299999993</v>
      </c>
      <c r="Z16" s="40"/>
      <c r="AA16" s="41">
        <v>0</v>
      </c>
      <c r="AB16" s="3"/>
      <c r="AC16" s="89">
        <f t="shared" si="3"/>
        <v>336779.08419493545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214922.64619999999</v>
      </c>
      <c r="C17" s="2">
        <v>20569.564604230683</v>
      </c>
      <c r="D17" s="89">
        <f t="shared" si="1"/>
        <v>235492.21080423068</v>
      </c>
      <c r="E17" s="2">
        <v>1.7251000000000001</v>
      </c>
      <c r="F17" s="89">
        <f t="shared" si="2"/>
        <v>235493.93590423069</v>
      </c>
      <c r="G17" s="2">
        <v>0</v>
      </c>
      <c r="H17" s="2">
        <v>0</v>
      </c>
      <c r="I17" s="2">
        <v>0</v>
      </c>
      <c r="J17" s="2">
        <v>2321.9912999999997</v>
      </c>
      <c r="K17" s="2">
        <v>133.35300000000001</v>
      </c>
      <c r="L17" s="2">
        <v>0</v>
      </c>
      <c r="M17" s="2">
        <v>837.74630000000002</v>
      </c>
      <c r="N17" s="2">
        <v>646.02250000000004</v>
      </c>
      <c r="O17" s="2">
        <v>757.77730000000008</v>
      </c>
      <c r="P17" s="2">
        <v>325.98932476793163</v>
      </c>
      <c r="Q17" s="2">
        <v>3465.0581000000002</v>
      </c>
      <c r="R17" s="2">
        <v>610.5982574321057</v>
      </c>
      <c r="S17" s="2">
        <v>0</v>
      </c>
      <c r="T17" s="2">
        <v>480.08238354763421</v>
      </c>
      <c r="U17" s="2">
        <v>2.2000000000000002</v>
      </c>
      <c r="V17" s="2">
        <v>1429.9941999999999</v>
      </c>
      <c r="W17" s="89">
        <f t="shared" si="0"/>
        <v>246504.74856997834</v>
      </c>
      <c r="X17" s="3"/>
      <c r="Y17" s="39">
        <v>5597.5398359999999</v>
      </c>
      <c r="Z17" s="40"/>
      <c r="AA17" s="41">
        <v>0</v>
      </c>
      <c r="AB17" s="3"/>
      <c r="AC17" s="89">
        <f t="shared" si="3"/>
        <v>252102.28840597835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163993.9278</v>
      </c>
      <c r="C18" s="2">
        <v>19789.675898857087</v>
      </c>
      <c r="D18" s="89">
        <f t="shared" si="1"/>
        <v>183783.6036988571</v>
      </c>
      <c r="E18" s="2">
        <v>2.7749999999999999</v>
      </c>
      <c r="F18" s="89">
        <f t="shared" si="2"/>
        <v>183786.37869885709</v>
      </c>
      <c r="G18" s="2">
        <v>0</v>
      </c>
      <c r="H18" s="2">
        <v>0</v>
      </c>
      <c r="I18" s="2">
        <v>0</v>
      </c>
      <c r="J18" s="2">
        <v>1812.1361000000002</v>
      </c>
      <c r="K18" s="2">
        <v>0</v>
      </c>
      <c r="L18" s="2">
        <v>0</v>
      </c>
      <c r="M18" s="2">
        <v>0</v>
      </c>
      <c r="N18" s="2">
        <v>504.15979999999996</v>
      </c>
      <c r="O18" s="2">
        <v>842.31569999999999</v>
      </c>
      <c r="P18" s="2">
        <v>263.06172575778697</v>
      </c>
      <c r="Q18" s="2">
        <v>2598.7936</v>
      </c>
      <c r="R18" s="2">
        <v>613.23597293907676</v>
      </c>
      <c r="S18" s="2">
        <v>0</v>
      </c>
      <c r="T18" s="2">
        <v>387.40931289582318</v>
      </c>
      <c r="U18" s="2">
        <v>2.2000000000000002</v>
      </c>
      <c r="V18" s="2">
        <v>1115.9758999999999</v>
      </c>
      <c r="W18" s="89">
        <f t="shared" si="0"/>
        <v>191925.66681044979</v>
      </c>
      <c r="X18" s="3"/>
      <c r="Y18" s="39">
        <v>5313.2925300000006</v>
      </c>
      <c r="Z18" s="40"/>
      <c r="AA18" s="41">
        <v>0</v>
      </c>
      <c r="AB18" s="3"/>
      <c r="AC18" s="89">
        <f t="shared" si="3"/>
        <v>197238.9593404498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113515.55070000001</v>
      </c>
      <c r="C19" s="2">
        <v>10333.525346201111</v>
      </c>
      <c r="D19" s="89">
        <f t="shared" si="1"/>
        <v>123849.07604620112</v>
      </c>
      <c r="E19" s="2">
        <v>1.6</v>
      </c>
      <c r="F19" s="89">
        <f t="shared" si="2"/>
        <v>123850.67604620113</v>
      </c>
      <c r="G19" s="2">
        <v>0</v>
      </c>
      <c r="H19" s="2">
        <v>0</v>
      </c>
      <c r="I19" s="2">
        <v>0</v>
      </c>
      <c r="J19" s="2">
        <v>1221.0586000000001</v>
      </c>
      <c r="K19" s="2">
        <v>98.338899999999995</v>
      </c>
      <c r="L19" s="2">
        <v>2.9999999999999997E-8</v>
      </c>
      <c r="M19" s="2">
        <v>617.89330000000007</v>
      </c>
      <c r="N19" s="2">
        <v>339.71550000000002</v>
      </c>
      <c r="O19" s="2">
        <v>1063.1588000000002</v>
      </c>
      <c r="P19" s="2">
        <v>233.52551625266594</v>
      </c>
      <c r="Q19" s="2">
        <v>1766.0846000000001</v>
      </c>
      <c r="R19" s="2">
        <v>766.4127260989867</v>
      </c>
      <c r="S19" s="2">
        <v>0</v>
      </c>
      <c r="T19" s="2">
        <v>343.91152697749595</v>
      </c>
      <c r="U19" s="2">
        <v>2.5</v>
      </c>
      <c r="V19" s="2">
        <v>751.97249999999997</v>
      </c>
      <c r="W19" s="89">
        <f t="shared" si="0"/>
        <v>131055.2480155603</v>
      </c>
      <c r="X19" s="3"/>
      <c r="Y19" s="39">
        <v>0</v>
      </c>
      <c r="Z19" s="40"/>
      <c r="AA19" s="41">
        <v>0</v>
      </c>
      <c r="AB19" s="3"/>
      <c r="AC19" s="89">
        <f t="shared" si="3"/>
        <v>131055.2480155603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122245.6517</v>
      </c>
      <c r="C20" s="2">
        <v>11698.330580605223</v>
      </c>
      <c r="D20" s="89">
        <f t="shared" si="1"/>
        <v>133943.98228060524</v>
      </c>
      <c r="E20" s="2">
        <v>1.6916</v>
      </c>
      <c r="F20" s="89">
        <f t="shared" si="2"/>
        <v>133945.67388060523</v>
      </c>
      <c r="G20" s="2">
        <v>0</v>
      </c>
      <c r="H20" s="2">
        <v>0</v>
      </c>
      <c r="I20" s="2">
        <v>0</v>
      </c>
      <c r="J20" s="2">
        <v>1320.7094</v>
      </c>
      <c r="K20" s="2">
        <v>0</v>
      </c>
      <c r="L20" s="2">
        <v>0</v>
      </c>
      <c r="M20" s="2">
        <v>0</v>
      </c>
      <c r="N20" s="2">
        <v>367.44420000000002</v>
      </c>
      <c r="O20" s="2">
        <v>656.99599999999998</v>
      </c>
      <c r="P20" s="2">
        <v>307.6749506164187</v>
      </c>
      <c r="Q20" s="2">
        <v>1732.5291000000002</v>
      </c>
      <c r="R20" s="2">
        <v>644.43729757094195</v>
      </c>
      <c r="S20" s="2">
        <v>0</v>
      </c>
      <c r="T20" s="2">
        <v>453.11092242640984</v>
      </c>
      <c r="U20" s="2">
        <v>2.2000000000000002</v>
      </c>
      <c r="V20" s="2">
        <v>813.35109999999997</v>
      </c>
      <c r="W20" s="89">
        <f t="shared" si="0"/>
        <v>140244.12685121904</v>
      </c>
      <c r="X20" s="3"/>
      <c r="Y20" s="39">
        <v>1838.095476</v>
      </c>
      <c r="Z20" s="40"/>
      <c r="AA20" s="41">
        <v>0</v>
      </c>
      <c r="AB20" s="3"/>
      <c r="AC20" s="89">
        <f t="shared" si="3"/>
        <v>142082.22232721903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225108.32209999999</v>
      </c>
      <c r="C21" s="2">
        <v>44648.628382643183</v>
      </c>
      <c r="D21" s="89">
        <f t="shared" si="1"/>
        <v>269756.95048264315</v>
      </c>
      <c r="E21" s="2">
        <v>5.1416000000000004</v>
      </c>
      <c r="F21" s="89">
        <f t="shared" si="2"/>
        <v>269762.09208264312</v>
      </c>
      <c r="G21" s="2">
        <v>0</v>
      </c>
      <c r="H21" s="2">
        <v>0</v>
      </c>
      <c r="I21" s="2">
        <v>0</v>
      </c>
      <c r="J21" s="2">
        <v>2659.8472000000002</v>
      </c>
      <c r="K21" s="2">
        <v>0</v>
      </c>
      <c r="L21" s="2">
        <v>0</v>
      </c>
      <c r="M21" s="2">
        <v>0</v>
      </c>
      <c r="N21" s="2">
        <v>740.01780000000008</v>
      </c>
      <c r="O21" s="2">
        <v>1538.5583000000001</v>
      </c>
      <c r="P21" s="2">
        <v>238.81542106076969</v>
      </c>
      <c r="Q21" s="2">
        <v>3465.0581000000002</v>
      </c>
      <c r="R21" s="2">
        <v>452.93934040370902</v>
      </c>
      <c r="S21" s="2">
        <v>0</v>
      </c>
      <c r="T21" s="2">
        <v>351.70193578653749</v>
      </c>
      <c r="U21" s="2">
        <v>2.2000000000000002</v>
      </c>
      <c r="V21" s="2">
        <v>1638.0562</v>
      </c>
      <c r="W21" s="89">
        <f t="shared" si="0"/>
        <v>280849.28637989413</v>
      </c>
      <c r="X21" s="3"/>
      <c r="Y21" s="39">
        <v>7789.0529219999999</v>
      </c>
      <c r="Z21" s="40"/>
      <c r="AA21" s="41">
        <v>0</v>
      </c>
      <c r="AB21" s="3"/>
      <c r="AC21" s="89">
        <f t="shared" si="3"/>
        <v>288638.33930189413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175375.3438</v>
      </c>
      <c r="C22" s="2">
        <v>38312.032651482237</v>
      </c>
      <c r="D22" s="89">
        <f t="shared" si="1"/>
        <v>213687.37645148224</v>
      </c>
      <c r="E22" s="2">
        <v>2.8416999999999999</v>
      </c>
      <c r="F22" s="89">
        <f t="shared" si="2"/>
        <v>213690.21815148223</v>
      </c>
      <c r="G22" s="2">
        <v>0</v>
      </c>
      <c r="H22" s="2">
        <v>0</v>
      </c>
      <c r="I22" s="2">
        <v>0</v>
      </c>
      <c r="J22" s="2">
        <v>2106.9920999999999</v>
      </c>
      <c r="K22" s="2">
        <v>156.34189999999998</v>
      </c>
      <c r="L22" s="2">
        <v>0</v>
      </c>
      <c r="M22" s="2">
        <v>982.16640000000007</v>
      </c>
      <c r="N22" s="2">
        <v>586.19259999999997</v>
      </c>
      <c r="O22" s="2">
        <v>1028.4866</v>
      </c>
      <c r="P22" s="2">
        <v>308.90514696991949</v>
      </c>
      <c r="Q22" s="2">
        <v>4071.4432999999999</v>
      </c>
      <c r="R22" s="2">
        <v>505.19760113375605</v>
      </c>
      <c r="S22" s="2">
        <v>0</v>
      </c>
      <c r="T22" s="2">
        <v>454.92262469120618</v>
      </c>
      <c r="U22" s="2">
        <v>2.2000000000000002</v>
      </c>
      <c r="V22" s="2">
        <v>1297.5587</v>
      </c>
      <c r="W22" s="89">
        <f t="shared" si="0"/>
        <v>225190.62512427714</v>
      </c>
      <c r="X22" s="3"/>
      <c r="Y22" s="39">
        <v>9960.2635859999991</v>
      </c>
      <c r="Z22" s="40"/>
      <c r="AA22" s="41">
        <v>0</v>
      </c>
      <c r="AB22" s="3"/>
      <c r="AC22" s="89">
        <f t="shared" si="3"/>
        <v>235150.88871027713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95701.4611</v>
      </c>
      <c r="C23" s="2">
        <v>16572.634989190534</v>
      </c>
      <c r="D23" s="89">
        <f t="shared" si="1"/>
        <v>112274.09608919054</v>
      </c>
      <c r="E23" s="2">
        <v>1.4499</v>
      </c>
      <c r="F23" s="89">
        <f t="shared" si="2"/>
        <v>112275.54598919055</v>
      </c>
      <c r="G23" s="2">
        <v>0</v>
      </c>
      <c r="H23" s="2">
        <v>0</v>
      </c>
      <c r="I23" s="2">
        <v>0</v>
      </c>
      <c r="J23" s="2">
        <v>1107.0408</v>
      </c>
      <c r="K23" s="2">
        <v>70.311300000000003</v>
      </c>
      <c r="L23" s="2">
        <v>0</v>
      </c>
      <c r="M23" s="2">
        <v>441.70769999999999</v>
      </c>
      <c r="N23" s="2">
        <v>307.99099999999999</v>
      </c>
      <c r="O23" s="2">
        <v>1308.3181000000002</v>
      </c>
      <c r="P23" s="2">
        <v>274.31381679819498</v>
      </c>
      <c r="Q23" s="2">
        <v>3724.9375</v>
      </c>
      <c r="R23" s="2">
        <v>616.04498024660415</v>
      </c>
      <c r="S23" s="2">
        <v>0</v>
      </c>
      <c r="T23" s="2">
        <v>403.9801950742193</v>
      </c>
      <c r="U23" s="2">
        <v>2.5</v>
      </c>
      <c r="V23" s="2">
        <v>681.74930000000006</v>
      </c>
      <c r="W23" s="89">
        <f t="shared" si="0"/>
        <v>121214.44068130957</v>
      </c>
      <c r="X23" s="3"/>
      <c r="Y23" s="39">
        <v>2884.1282190000002</v>
      </c>
      <c r="Z23" s="40"/>
      <c r="AA23" s="41">
        <v>0</v>
      </c>
      <c r="AB23" s="3"/>
      <c r="AC23" s="89">
        <f t="shared" si="3"/>
        <v>124098.56890030958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145384.8057</v>
      </c>
      <c r="C24" s="2">
        <v>17839.954135423093</v>
      </c>
      <c r="D24" s="89">
        <f t="shared" si="1"/>
        <v>163224.75983542309</v>
      </c>
      <c r="E24" s="2">
        <v>1.2167000000000001</v>
      </c>
      <c r="F24" s="89">
        <f t="shared" si="2"/>
        <v>163225.97653542308</v>
      </c>
      <c r="G24" s="2">
        <v>0</v>
      </c>
      <c r="H24" s="2">
        <v>0</v>
      </c>
      <c r="I24" s="2">
        <v>0</v>
      </c>
      <c r="J24" s="2">
        <v>1609.4226000000001</v>
      </c>
      <c r="K24" s="2">
        <v>0</v>
      </c>
      <c r="L24" s="2">
        <v>0</v>
      </c>
      <c r="M24" s="2">
        <v>0</v>
      </c>
      <c r="N24" s="2">
        <v>447.77330000000001</v>
      </c>
      <c r="O24" s="2">
        <v>991.4541999999999</v>
      </c>
      <c r="P24" s="2">
        <v>254.88663837388114</v>
      </c>
      <c r="Q24" s="2">
        <v>3898.1904</v>
      </c>
      <c r="R24" s="2">
        <v>577.1101936027901</v>
      </c>
      <c r="S24" s="2">
        <v>0</v>
      </c>
      <c r="T24" s="2">
        <v>375.36991425351835</v>
      </c>
      <c r="U24" s="2">
        <v>2.5</v>
      </c>
      <c r="V24" s="2">
        <v>991.16250000000002</v>
      </c>
      <c r="W24" s="89">
        <f t="shared" si="0"/>
        <v>172373.84628165327</v>
      </c>
      <c r="X24" s="3"/>
      <c r="Y24" s="39">
        <v>2831.6057910000004</v>
      </c>
      <c r="Z24" s="40"/>
      <c r="AA24" s="41">
        <v>0</v>
      </c>
      <c r="AB24" s="3"/>
      <c r="AC24" s="89">
        <f t="shared" si="3"/>
        <v>175205.45207265328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210907.4026</v>
      </c>
      <c r="C25" s="2">
        <v>37044.713505249027</v>
      </c>
      <c r="D25" s="89">
        <f t="shared" si="1"/>
        <v>247952.11610524904</v>
      </c>
      <c r="E25" s="2">
        <v>3.3167</v>
      </c>
      <c r="F25" s="89">
        <f t="shared" si="2"/>
        <v>247955.43280524903</v>
      </c>
      <c r="G25" s="2">
        <v>0</v>
      </c>
      <c r="H25" s="2">
        <v>0</v>
      </c>
      <c r="I25" s="2">
        <v>0</v>
      </c>
      <c r="J25" s="2">
        <v>2444.848</v>
      </c>
      <c r="K25" s="2">
        <v>0</v>
      </c>
      <c r="L25" s="2">
        <v>0</v>
      </c>
      <c r="M25" s="2">
        <v>0</v>
      </c>
      <c r="N25" s="2">
        <v>680.20590000000004</v>
      </c>
      <c r="O25" s="2">
        <v>1181.6033</v>
      </c>
      <c r="P25" s="2">
        <v>260.75987287898528</v>
      </c>
      <c r="Q25" s="2">
        <v>3465.0581000000002</v>
      </c>
      <c r="R25" s="2">
        <v>665.61829084773353</v>
      </c>
      <c r="S25" s="2">
        <v>0</v>
      </c>
      <c r="T25" s="2">
        <v>384.01938895930664</v>
      </c>
      <c r="U25" s="2">
        <v>2.5</v>
      </c>
      <c r="V25" s="2">
        <v>1505.6603</v>
      </c>
      <c r="W25" s="89">
        <f t="shared" si="0"/>
        <v>258545.70595793502</v>
      </c>
      <c r="X25" s="3"/>
      <c r="Y25" s="39">
        <v>13910.14443</v>
      </c>
      <c r="Z25" s="40"/>
      <c r="AA25" s="41">
        <v>0</v>
      </c>
      <c r="AB25" s="3"/>
      <c r="AC25" s="89">
        <f t="shared" si="3"/>
        <v>272455.850387935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194397.3026</v>
      </c>
      <c r="C26" s="2">
        <v>24274.035954755585</v>
      </c>
      <c r="D26" s="89">
        <f t="shared" si="1"/>
        <v>218671.33855475558</v>
      </c>
      <c r="E26" s="2">
        <v>2.5083000000000002</v>
      </c>
      <c r="F26" s="89">
        <f t="shared" si="2"/>
        <v>218673.84685475557</v>
      </c>
      <c r="G26" s="2">
        <v>0</v>
      </c>
      <c r="H26" s="2">
        <v>0</v>
      </c>
      <c r="I26" s="2">
        <v>0</v>
      </c>
      <c r="J26" s="2">
        <v>2156.1347999999998</v>
      </c>
      <c r="K26" s="2">
        <v>0</v>
      </c>
      <c r="L26" s="2">
        <v>0</v>
      </c>
      <c r="M26" s="2">
        <v>0</v>
      </c>
      <c r="N26" s="2">
        <v>599.8768</v>
      </c>
      <c r="O26" s="2">
        <v>880.43859999999995</v>
      </c>
      <c r="P26" s="2">
        <v>241.57413485877166</v>
      </c>
      <c r="Q26" s="2">
        <v>3161.8656000000001</v>
      </c>
      <c r="R26" s="2">
        <v>450.74935136269022</v>
      </c>
      <c r="S26" s="2">
        <v>0</v>
      </c>
      <c r="T26" s="2">
        <v>355.76467586729922</v>
      </c>
      <c r="U26" s="2">
        <v>2.2000000000000002</v>
      </c>
      <c r="V26" s="2">
        <v>1327.8489</v>
      </c>
      <c r="W26" s="89">
        <f t="shared" si="0"/>
        <v>227850.29971684434</v>
      </c>
      <c r="X26" s="3"/>
      <c r="Y26" s="39">
        <v>3592.3073549999999</v>
      </c>
      <c r="Z26" s="40"/>
      <c r="AA26" s="41">
        <v>0</v>
      </c>
      <c r="AB26" s="3"/>
      <c r="AC26" s="89">
        <f t="shared" si="3"/>
        <v>231442.60707184434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133514.39540000001</v>
      </c>
      <c r="C27" s="2">
        <v>14135.482784897873</v>
      </c>
      <c r="D27" s="89">
        <f t="shared" si="1"/>
        <v>147649.87818489788</v>
      </c>
      <c r="E27" s="2">
        <v>1.5751000000000002</v>
      </c>
      <c r="F27" s="89">
        <f t="shared" si="2"/>
        <v>147651.45328489787</v>
      </c>
      <c r="G27" s="2">
        <v>0</v>
      </c>
      <c r="H27" s="2">
        <v>0</v>
      </c>
      <c r="I27" s="2">
        <v>0</v>
      </c>
      <c r="J27" s="2">
        <v>1455.8516999999999</v>
      </c>
      <c r="K27" s="2">
        <v>0</v>
      </c>
      <c r="L27" s="2">
        <v>0</v>
      </c>
      <c r="M27" s="2">
        <v>0</v>
      </c>
      <c r="N27" s="2">
        <v>405.03520000000003</v>
      </c>
      <c r="O27" s="2">
        <v>685.78030000000001</v>
      </c>
      <c r="P27" s="2">
        <v>236.65153412136817</v>
      </c>
      <c r="Q27" s="2">
        <v>3161.8656000000001</v>
      </c>
      <c r="R27" s="2">
        <v>515.62210733863526</v>
      </c>
      <c r="S27" s="2">
        <v>0</v>
      </c>
      <c r="T27" s="2">
        <v>348.51519340909005</v>
      </c>
      <c r="U27" s="2">
        <v>2.2000000000000002</v>
      </c>
      <c r="V27" s="2">
        <v>896.56</v>
      </c>
      <c r="W27" s="89">
        <f t="shared" si="0"/>
        <v>155359.53491976697</v>
      </c>
      <c r="X27" s="3"/>
      <c r="Y27" s="39">
        <v>0</v>
      </c>
      <c r="Z27" s="40"/>
      <c r="AA27" s="41">
        <v>0</v>
      </c>
      <c r="AB27" s="3"/>
      <c r="AC27" s="89">
        <f t="shared" si="3"/>
        <v>155359.53491976697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94897.229099999997</v>
      </c>
      <c r="C28" s="2">
        <v>7408.9427010499649</v>
      </c>
      <c r="D28" s="89">
        <f t="shared" si="1"/>
        <v>102306.17180104996</v>
      </c>
      <c r="E28" s="2">
        <v>0.70829999999999993</v>
      </c>
      <c r="F28" s="89">
        <f t="shared" si="2"/>
        <v>102306.88010104996</v>
      </c>
      <c r="G28" s="2">
        <v>0</v>
      </c>
      <c r="H28" s="2">
        <v>0</v>
      </c>
      <c r="I28" s="2">
        <v>0</v>
      </c>
      <c r="J28" s="2">
        <v>1008.7554</v>
      </c>
      <c r="K28" s="2">
        <v>91.166499999999999</v>
      </c>
      <c r="L28" s="2">
        <v>0</v>
      </c>
      <c r="M28" s="2">
        <v>572.72360000000003</v>
      </c>
      <c r="N28" s="2">
        <v>280.65870000000001</v>
      </c>
      <c r="O28" s="2">
        <v>789.73209999999995</v>
      </c>
      <c r="P28" s="2">
        <v>332.98201979823665</v>
      </c>
      <c r="Q28" s="2">
        <v>2772.0464999999999</v>
      </c>
      <c r="R28" s="2">
        <v>1200.806903343569</v>
      </c>
      <c r="S28" s="2">
        <v>0</v>
      </c>
      <c r="T28" s="2">
        <v>490.38048058095256</v>
      </c>
      <c r="U28" s="2">
        <v>3</v>
      </c>
      <c r="V28" s="2">
        <v>621.24810000000002</v>
      </c>
      <c r="W28" s="89">
        <f t="shared" si="0"/>
        <v>110470.3804047727</v>
      </c>
      <c r="X28" s="3"/>
      <c r="Y28" s="39">
        <v>660.15337499999998</v>
      </c>
      <c r="Z28" s="40"/>
      <c r="AA28" s="41">
        <v>0</v>
      </c>
      <c r="AB28" s="3"/>
      <c r="AC28" s="89">
        <f t="shared" si="3"/>
        <v>111130.5337797727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524078.89839999995</v>
      </c>
      <c r="C29" s="2">
        <v>65315.679075045344</v>
      </c>
      <c r="D29" s="89">
        <f t="shared" si="1"/>
        <v>589394.57747504534</v>
      </c>
      <c r="E29" s="2">
        <v>11.290799999999999</v>
      </c>
      <c r="F29" s="89">
        <f t="shared" si="2"/>
        <v>589405.8682750453</v>
      </c>
      <c r="G29" s="2">
        <v>0</v>
      </c>
      <c r="H29" s="2">
        <v>0</v>
      </c>
      <c r="I29" s="2">
        <v>0</v>
      </c>
      <c r="J29" s="2">
        <v>5810.9865</v>
      </c>
      <c r="K29" s="2">
        <v>1253.3665000000001</v>
      </c>
      <c r="L29" s="2">
        <v>1.3000000000000003E-7</v>
      </c>
      <c r="M29" s="2">
        <v>7875.2861000000003</v>
      </c>
      <c r="N29" s="2">
        <v>1616.7106999999999</v>
      </c>
      <c r="O29" s="2">
        <v>3409.7440000000001</v>
      </c>
      <c r="P29" s="2">
        <v>209.80808101024905</v>
      </c>
      <c r="Q29" s="2">
        <v>4989.1890999999996</v>
      </c>
      <c r="R29" s="2">
        <v>375.19112579657991</v>
      </c>
      <c r="S29" s="2">
        <v>0</v>
      </c>
      <c r="T29" s="2">
        <v>308.98301252109343</v>
      </c>
      <c r="U29" s="2">
        <v>0.5</v>
      </c>
      <c r="V29" s="2">
        <v>3578.6477999999997</v>
      </c>
      <c r="W29" s="89">
        <f t="shared" si="0"/>
        <v>618834.28119450319</v>
      </c>
      <c r="X29" s="3"/>
      <c r="Y29" s="39">
        <v>9121.8630089999988</v>
      </c>
      <c r="Z29" s="40"/>
      <c r="AA29" s="41">
        <v>0</v>
      </c>
      <c r="AB29" s="3"/>
      <c r="AC29" s="89">
        <f t="shared" si="3"/>
        <v>627956.14420350315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234704.6159</v>
      </c>
      <c r="C30" s="2">
        <v>32560.353449350678</v>
      </c>
      <c r="D30" s="89">
        <f t="shared" si="1"/>
        <v>267264.96934935066</v>
      </c>
      <c r="E30" s="2">
        <v>2.6333000000000002</v>
      </c>
      <c r="F30" s="89">
        <f t="shared" si="2"/>
        <v>267267.60264935065</v>
      </c>
      <c r="G30" s="2">
        <v>0</v>
      </c>
      <c r="H30" s="2">
        <v>0</v>
      </c>
      <c r="I30" s="2">
        <v>0</v>
      </c>
      <c r="J30" s="2">
        <v>2635.2759000000001</v>
      </c>
      <c r="K30" s="2">
        <v>0</v>
      </c>
      <c r="L30" s="2">
        <v>0</v>
      </c>
      <c r="M30" s="2">
        <v>0</v>
      </c>
      <c r="N30" s="2">
        <v>733.18469999999991</v>
      </c>
      <c r="O30" s="2">
        <v>1367.0805</v>
      </c>
      <c r="P30" s="2">
        <v>279.74047733349875</v>
      </c>
      <c r="Q30" s="2">
        <v>3724.9375</v>
      </c>
      <c r="R30" s="2">
        <v>508.08634427652191</v>
      </c>
      <c r="S30" s="2">
        <v>0</v>
      </c>
      <c r="T30" s="2">
        <v>411.97200315263694</v>
      </c>
      <c r="U30" s="2">
        <v>2.2000000000000002</v>
      </c>
      <c r="V30" s="2">
        <v>1622.9308999999998</v>
      </c>
      <c r="W30" s="89">
        <f t="shared" si="0"/>
        <v>278553.01097411325</v>
      </c>
      <c r="X30" s="3"/>
      <c r="Y30" s="39">
        <v>8911.3188359999986</v>
      </c>
      <c r="Z30" s="40"/>
      <c r="AA30" s="41">
        <v>0</v>
      </c>
      <c r="AB30" s="3"/>
      <c r="AC30" s="89">
        <f t="shared" si="3"/>
        <v>287464.32981011324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267302.9351</v>
      </c>
      <c r="C31" s="2">
        <v>40456.726591259947</v>
      </c>
      <c r="D31" s="89">
        <f t="shared" si="1"/>
        <v>307759.66169125994</v>
      </c>
      <c r="E31" s="2">
        <v>4.6500000000000004</v>
      </c>
      <c r="F31" s="89">
        <f t="shared" si="2"/>
        <v>307764.31169125997</v>
      </c>
      <c r="G31" s="2">
        <v>0</v>
      </c>
      <c r="H31" s="2">
        <v>0</v>
      </c>
      <c r="I31" s="2">
        <v>0</v>
      </c>
      <c r="J31" s="2">
        <v>3034.5601000000001</v>
      </c>
      <c r="K31" s="2">
        <v>0</v>
      </c>
      <c r="L31" s="2">
        <v>0</v>
      </c>
      <c r="M31" s="2">
        <v>0</v>
      </c>
      <c r="N31" s="2">
        <v>844.27159999999992</v>
      </c>
      <c r="O31" s="2">
        <v>1174.0245</v>
      </c>
      <c r="P31" s="2">
        <v>215.46105409105314</v>
      </c>
      <c r="Q31" s="2">
        <v>3638.3110000000001</v>
      </c>
      <c r="R31" s="2">
        <v>484.7154667300918</v>
      </c>
      <c r="S31" s="2">
        <v>0</v>
      </c>
      <c r="T31" s="2">
        <v>317.30810968204196</v>
      </c>
      <c r="U31" s="2">
        <v>2.2000000000000002</v>
      </c>
      <c r="V31" s="2">
        <v>1868.8258999999998</v>
      </c>
      <c r="W31" s="89">
        <f t="shared" si="0"/>
        <v>319343.98942176311</v>
      </c>
      <c r="X31" s="3"/>
      <c r="Y31" s="39">
        <v>10808.341802999999</v>
      </c>
      <c r="Z31" s="40"/>
      <c r="AA31" s="41">
        <v>0</v>
      </c>
      <c r="AB31" s="3"/>
      <c r="AC31" s="89">
        <f t="shared" si="3"/>
        <v>330152.33122476313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76079.352200000008</v>
      </c>
      <c r="C32" s="2">
        <v>3704.4713505249824</v>
      </c>
      <c r="D32" s="89">
        <f t="shared" si="1"/>
        <v>79783.82355052499</v>
      </c>
      <c r="E32" s="2">
        <v>1</v>
      </c>
      <c r="F32" s="89">
        <f t="shared" si="2"/>
        <v>79784.82355052499</v>
      </c>
      <c r="G32" s="2">
        <v>0</v>
      </c>
      <c r="H32" s="2">
        <v>0</v>
      </c>
      <c r="I32" s="2">
        <v>0</v>
      </c>
      <c r="J32" s="2">
        <v>786.67840000000001</v>
      </c>
      <c r="K32" s="2">
        <v>8.0866000000000007</v>
      </c>
      <c r="L32" s="2">
        <v>0</v>
      </c>
      <c r="M32" s="2">
        <v>50.801699999999997</v>
      </c>
      <c r="N32" s="2">
        <v>218.87389999999999</v>
      </c>
      <c r="O32" s="2">
        <v>618.1176999999999</v>
      </c>
      <c r="P32" s="2">
        <v>244.87261016177402</v>
      </c>
      <c r="Q32" s="2">
        <v>2295.6010000000001</v>
      </c>
      <c r="R32" s="2">
        <v>360.92046659437744</v>
      </c>
      <c r="S32" s="2">
        <v>0</v>
      </c>
      <c r="T32" s="2">
        <v>360.62231924766525</v>
      </c>
      <c r="U32" s="2">
        <v>3</v>
      </c>
      <c r="V32" s="2">
        <v>484.48540000000003</v>
      </c>
      <c r="W32" s="89">
        <f t="shared" si="0"/>
        <v>85216.883646528819</v>
      </c>
      <c r="X32" s="3"/>
      <c r="Y32" s="39">
        <v>398.725866</v>
      </c>
      <c r="Z32" s="40"/>
      <c r="AA32" s="43">
        <v>0</v>
      </c>
      <c r="AB32" s="3"/>
      <c r="AC32" s="89">
        <f t="shared" si="3"/>
        <v>85615.609512528812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5627921.1282999991</v>
      </c>
      <c r="C33" s="83">
        <f>SUM(C10:C32)</f>
        <v>923388.22716242936</v>
      </c>
      <c r="D33" s="83">
        <f>SUM(D10:D32)</f>
        <v>6551309.3554624291</v>
      </c>
      <c r="E33" s="83">
        <f t="shared" ref="E33:W33" si="4">SUM(E10:E32)</f>
        <v>107.0158</v>
      </c>
      <c r="F33" s="83">
        <f>SUM(F10:F32)</f>
        <v>6551416.3712624293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64596.315400000007</v>
      </c>
      <c r="K33" s="83">
        <f t="shared" si="4"/>
        <v>7541.1047000000008</v>
      </c>
      <c r="L33" s="83">
        <f t="shared" si="4"/>
        <v>1.6000000000000003E-7</v>
      </c>
      <c r="M33" s="83">
        <f t="shared" si="4"/>
        <v>47376.043799999992</v>
      </c>
      <c r="N33" s="83">
        <f t="shared" si="4"/>
        <v>17971.779699999999</v>
      </c>
      <c r="O33" s="83">
        <f t="shared" si="4"/>
        <v>35954.200000000012</v>
      </c>
      <c r="P33" s="83">
        <f t="shared" si="4"/>
        <v>6051.1379625699992</v>
      </c>
      <c r="Q33" s="83">
        <f t="shared" si="4"/>
        <v>85628.659499999994</v>
      </c>
      <c r="R33" s="83">
        <f>SUM(R10:R32)</f>
        <v>13364.428359570002</v>
      </c>
      <c r="S33" s="83">
        <f t="shared" si="4"/>
        <v>0</v>
      </c>
      <c r="T33" s="83">
        <f t="shared" si="4"/>
        <v>8911.4719885199993</v>
      </c>
      <c r="U33" s="83">
        <f t="shared" si="4"/>
        <v>45.800000000000004</v>
      </c>
      <c r="V33" s="83">
        <f t="shared" si="4"/>
        <v>39781.185400000009</v>
      </c>
      <c r="W33" s="83">
        <f t="shared" si="4"/>
        <v>6878638.4980732501</v>
      </c>
      <c r="X33" s="48"/>
      <c r="Y33" s="95">
        <f>SUM(Y10:Y32)</f>
        <v>275980.38381900004</v>
      </c>
      <c r="Z33" s="40"/>
      <c r="AA33" s="101">
        <f>SUM(AA10:AA32)</f>
        <v>0</v>
      </c>
      <c r="AB33" s="6"/>
      <c r="AC33" s="93">
        <f>SUM(AC10:AC32)</f>
        <v>7154618.8818922471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108559.58470000001</v>
      </c>
      <c r="C34" s="2">
        <v>51010.062502607987</v>
      </c>
      <c r="D34" s="89">
        <f>B34+C34</f>
        <v>159569.647202608</v>
      </c>
      <c r="E34" s="2">
        <v>0</v>
      </c>
      <c r="F34" s="89">
        <f>D34+E34</f>
        <v>159569.647202608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1126.1438999999998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160695.791102608</v>
      </c>
      <c r="X34" s="3"/>
      <c r="Y34" s="39"/>
      <c r="Z34" s="40"/>
      <c r="AA34" s="97">
        <v>0</v>
      </c>
      <c r="AB34" s="3"/>
      <c r="AC34" s="89">
        <f>+W34+Y34+AA34</f>
        <v>160695.791102608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4586487.5736000007</v>
      </c>
      <c r="C36" s="2">
        <v>0</v>
      </c>
      <c r="D36" s="89">
        <f>B36+C36</f>
        <v>4586487.5736000007</v>
      </c>
      <c r="E36" s="2">
        <v>0</v>
      </c>
      <c r="F36" s="89">
        <f>D36+E36</f>
        <v>4586487.5736000007</v>
      </c>
      <c r="G36" s="2">
        <v>0</v>
      </c>
      <c r="H36" s="2">
        <v>0</v>
      </c>
      <c r="I36" s="2">
        <v>0</v>
      </c>
      <c r="J36" s="2">
        <v>46796.124600000003</v>
      </c>
      <c r="K36" s="2">
        <v>0</v>
      </c>
      <c r="L36" s="2">
        <v>0</v>
      </c>
      <c r="M36" s="2">
        <v>0</v>
      </c>
      <c r="N36" s="2">
        <v>0</v>
      </c>
      <c r="O36" s="2">
        <v>59782.025000000001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4693065.7232000008</v>
      </c>
      <c r="X36" s="3"/>
      <c r="Y36" s="39">
        <f>-SUM(Y33)</f>
        <v>-275980.38381900004</v>
      </c>
      <c r="Z36" s="40"/>
      <c r="AA36" s="41">
        <f>-(AA33+AA34)</f>
        <v>0</v>
      </c>
      <c r="AB36" s="3"/>
      <c r="AC36" s="89">
        <f>+W36+Y36+AA36</f>
        <v>4417085.339381001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706006.83479999995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92630.775299999994</v>
      </c>
      <c r="W37" s="89">
        <f>SUM(F37:V37)</f>
        <v>798637.61009999993</v>
      </c>
      <c r="X37" s="3"/>
      <c r="Y37" s="39"/>
      <c r="Z37" s="40"/>
      <c r="AA37" s="41"/>
      <c r="AB37" s="3"/>
      <c r="AC37" s="89">
        <f t="shared" si="3"/>
        <v>798637.61009999993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113978.31940000001</v>
      </c>
      <c r="C38" s="37">
        <v>0</v>
      </c>
      <c r="D38" s="89">
        <f>B38+C38</f>
        <v>113978.31940000001</v>
      </c>
      <c r="E38" s="37">
        <v>0</v>
      </c>
      <c r="F38" s="89">
        <f>D38+E38</f>
        <v>113978.31940000001</v>
      </c>
      <c r="G38" s="37">
        <v>0</v>
      </c>
      <c r="H38" s="37">
        <v>0</v>
      </c>
      <c r="I38" s="37">
        <v>0</v>
      </c>
      <c r="J38" s="37">
        <v>1123.8262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115102.1456</v>
      </c>
      <c r="X38" s="3"/>
      <c r="Y38" s="42"/>
      <c r="Z38" s="40"/>
      <c r="AA38" s="43"/>
      <c r="AB38" s="3"/>
      <c r="AC38" s="90">
        <f t="shared" si="3"/>
        <v>115102.1456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10436992.405999999</v>
      </c>
      <c r="C39" s="85">
        <f>+SUM(C33:C38)</f>
        <v>974398.2896650373</v>
      </c>
      <c r="D39" s="85">
        <f>+SUM(D33:D38)</f>
        <v>11411390.695665037</v>
      </c>
      <c r="E39" s="85">
        <f t="shared" ref="E39:V39" si="5">+SUM(E33:E38)</f>
        <v>107.0158</v>
      </c>
      <c r="F39" s="85">
        <f>SUM(F33:F38)</f>
        <v>11411497.711465036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112516.2662</v>
      </c>
      <c r="K39" s="85">
        <f t="shared" si="5"/>
        <v>7541.1047000000008</v>
      </c>
      <c r="L39" s="85">
        <f t="shared" si="5"/>
        <v>1.6000000000000003E-7</v>
      </c>
      <c r="M39" s="85">
        <f t="shared" si="5"/>
        <v>753382.87859999994</v>
      </c>
      <c r="N39" s="85">
        <f t="shared" si="5"/>
        <v>17971.779699999999</v>
      </c>
      <c r="O39" s="85">
        <f t="shared" si="5"/>
        <v>95736.225000000006</v>
      </c>
      <c r="P39" s="85">
        <f t="shared" si="5"/>
        <v>6051.1379625699992</v>
      </c>
      <c r="Q39" s="85">
        <f t="shared" si="5"/>
        <v>86754.80339999999</v>
      </c>
      <c r="R39" s="85">
        <f t="shared" si="5"/>
        <v>13364.428359570002</v>
      </c>
      <c r="S39" s="85">
        <f t="shared" si="5"/>
        <v>0</v>
      </c>
      <c r="T39" s="85">
        <f t="shared" si="5"/>
        <v>8911.4719885199993</v>
      </c>
      <c r="U39" s="85">
        <f t="shared" si="5"/>
        <v>45.800000000000004</v>
      </c>
      <c r="V39" s="85">
        <f t="shared" si="5"/>
        <v>132411.9607</v>
      </c>
      <c r="W39" s="85">
        <f>+SUM(W33:W38)</f>
        <v>12646139.768075857</v>
      </c>
      <c r="X39" s="47"/>
      <c r="Y39" s="46">
        <f>+SUM(Y33:Y38)</f>
        <v>0</v>
      </c>
      <c r="Z39" s="49"/>
      <c r="AA39" s="102"/>
      <c r="AB39" s="7"/>
      <c r="AC39" s="94">
        <f>+SUM(AC33:AC38)</f>
        <v>12646139.768075855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4988201.6880000001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6094234.2318000002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280125.989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272.834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15934.481099999999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19108.518399999997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13619.969165039063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11411497.71146504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11411451.911465039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F33 D33 W33:W34 AC33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0E26-9238-4604-AEAB-760999251716}">
  <sheetPr>
    <pageSetUpPr fitToPage="1"/>
  </sheetPr>
  <dimension ref="A1:AZ80"/>
  <sheetViews>
    <sheetView showGridLines="0" showZeros="0" tabSelected="1" zoomScaleNormal="100" workbookViewId="0">
      <selection activeCell="A5" sqref="A5"/>
    </sheetView>
  </sheetViews>
  <sheetFormatPr baseColWidth="10" defaultRowHeight="12.75" x14ac:dyDescent="0.2"/>
  <cols>
    <col min="1" max="1" width="20.109375" style="11" customWidth="1"/>
    <col min="2" max="6" width="12.77734375" style="11" customWidth="1"/>
    <col min="7" max="7" width="33.21875" style="11" hidden="1" customWidth="1"/>
    <col min="8" max="8" width="36.33203125" style="11" hidden="1" customWidth="1"/>
    <col min="9" max="9" width="5.6640625" style="11" hidden="1" customWidth="1"/>
    <col min="10" max="18" width="12.77734375" style="11" customWidth="1"/>
    <col min="19" max="19" width="30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7" width="49" style="11" hidden="1" customWidth="1"/>
    <col min="28" max="28" width="1.77734375" style="11" hidden="1" customWidth="1"/>
    <col min="29" max="29" width="12.77734375" style="11" customWidth="1"/>
    <col min="30" max="30" width="11.5546875" style="11"/>
    <col min="31" max="31" width="15.109375" style="11" customWidth="1"/>
    <col min="32" max="32" width="13" style="11" customWidth="1"/>
    <col min="33" max="33" width="11.5546875" style="11"/>
    <col min="34" max="34" width="11.77734375" style="11" customWidth="1"/>
    <col min="35" max="256" width="11.5546875" style="11"/>
    <col min="257" max="257" width="20.109375" style="11" customWidth="1"/>
    <col min="258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1.5546875" style="11"/>
    <col min="287" max="287" width="15.109375" style="11" customWidth="1"/>
    <col min="288" max="288" width="13" style="11" customWidth="1"/>
    <col min="289" max="289" width="11.5546875" style="11"/>
    <col min="290" max="290" width="11.77734375" style="11" customWidth="1"/>
    <col min="291" max="512" width="11.5546875" style="11"/>
    <col min="513" max="513" width="20.109375" style="11" customWidth="1"/>
    <col min="514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1.5546875" style="11"/>
    <col min="543" max="543" width="15.109375" style="11" customWidth="1"/>
    <col min="544" max="544" width="13" style="11" customWidth="1"/>
    <col min="545" max="545" width="11.5546875" style="11"/>
    <col min="546" max="546" width="11.77734375" style="11" customWidth="1"/>
    <col min="547" max="768" width="11.5546875" style="11"/>
    <col min="769" max="769" width="20.109375" style="11" customWidth="1"/>
    <col min="770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1.5546875" style="11"/>
    <col min="799" max="799" width="15.109375" style="11" customWidth="1"/>
    <col min="800" max="800" width="13" style="11" customWidth="1"/>
    <col min="801" max="801" width="11.5546875" style="11"/>
    <col min="802" max="802" width="11.77734375" style="11" customWidth="1"/>
    <col min="803" max="1024" width="11.5546875" style="11"/>
    <col min="1025" max="1025" width="20.109375" style="11" customWidth="1"/>
    <col min="1026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1.5546875" style="11"/>
    <col min="1055" max="1055" width="15.109375" style="11" customWidth="1"/>
    <col min="1056" max="1056" width="13" style="11" customWidth="1"/>
    <col min="1057" max="1057" width="11.5546875" style="11"/>
    <col min="1058" max="1058" width="11.77734375" style="11" customWidth="1"/>
    <col min="1059" max="1280" width="11.5546875" style="11"/>
    <col min="1281" max="1281" width="20.109375" style="11" customWidth="1"/>
    <col min="1282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1.5546875" style="11"/>
    <col min="1311" max="1311" width="15.109375" style="11" customWidth="1"/>
    <col min="1312" max="1312" width="13" style="11" customWidth="1"/>
    <col min="1313" max="1313" width="11.5546875" style="11"/>
    <col min="1314" max="1314" width="11.77734375" style="11" customWidth="1"/>
    <col min="1315" max="1536" width="11.5546875" style="11"/>
    <col min="1537" max="1537" width="20.109375" style="11" customWidth="1"/>
    <col min="1538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1.5546875" style="11"/>
    <col min="1567" max="1567" width="15.109375" style="11" customWidth="1"/>
    <col min="1568" max="1568" width="13" style="11" customWidth="1"/>
    <col min="1569" max="1569" width="11.5546875" style="11"/>
    <col min="1570" max="1570" width="11.77734375" style="11" customWidth="1"/>
    <col min="1571" max="1792" width="11.5546875" style="11"/>
    <col min="1793" max="1793" width="20.109375" style="11" customWidth="1"/>
    <col min="1794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1.5546875" style="11"/>
    <col min="1823" max="1823" width="15.109375" style="11" customWidth="1"/>
    <col min="1824" max="1824" width="13" style="11" customWidth="1"/>
    <col min="1825" max="1825" width="11.5546875" style="11"/>
    <col min="1826" max="1826" width="11.77734375" style="11" customWidth="1"/>
    <col min="1827" max="2048" width="11.5546875" style="11"/>
    <col min="2049" max="2049" width="20.109375" style="11" customWidth="1"/>
    <col min="2050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1.5546875" style="11"/>
    <col min="2079" max="2079" width="15.109375" style="11" customWidth="1"/>
    <col min="2080" max="2080" width="13" style="11" customWidth="1"/>
    <col min="2081" max="2081" width="11.5546875" style="11"/>
    <col min="2082" max="2082" width="11.77734375" style="11" customWidth="1"/>
    <col min="2083" max="2304" width="11.5546875" style="11"/>
    <col min="2305" max="2305" width="20.109375" style="11" customWidth="1"/>
    <col min="2306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1.5546875" style="11"/>
    <col min="2335" max="2335" width="15.109375" style="11" customWidth="1"/>
    <col min="2336" max="2336" width="13" style="11" customWidth="1"/>
    <col min="2337" max="2337" width="11.5546875" style="11"/>
    <col min="2338" max="2338" width="11.77734375" style="11" customWidth="1"/>
    <col min="2339" max="2560" width="11.5546875" style="11"/>
    <col min="2561" max="2561" width="20.109375" style="11" customWidth="1"/>
    <col min="2562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1.5546875" style="11"/>
    <col min="2591" max="2591" width="15.109375" style="11" customWidth="1"/>
    <col min="2592" max="2592" width="13" style="11" customWidth="1"/>
    <col min="2593" max="2593" width="11.5546875" style="11"/>
    <col min="2594" max="2594" width="11.77734375" style="11" customWidth="1"/>
    <col min="2595" max="2816" width="11.5546875" style="11"/>
    <col min="2817" max="2817" width="20.109375" style="11" customWidth="1"/>
    <col min="2818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1.5546875" style="11"/>
    <col min="2847" max="2847" width="15.109375" style="11" customWidth="1"/>
    <col min="2848" max="2848" width="13" style="11" customWidth="1"/>
    <col min="2849" max="2849" width="11.5546875" style="11"/>
    <col min="2850" max="2850" width="11.77734375" style="11" customWidth="1"/>
    <col min="2851" max="3072" width="11.5546875" style="11"/>
    <col min="3073" max="3073" width="20.109375" style="11" customWidth="1"/>
    <col min="3074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1.5546875" style="11"/>
    <col min="3103" max="3103" width="15.109375" style="11" customWidth="1"/>
    <col min="3104" max="3104" width="13" style="11" customWidth="1"/>
    <col min="3105" max="3105" width="11.5546875" style="11"/>
    <col min="3106" max="3106" width="11.77734375" style="11" customWidth="1"/>
    <col min="3107" max="3328" width="11.5546875" style="11"/>
    <col min="3329" max="3329" width="20.109375" style="11" customWidth="1"/>
    <col min="3330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1.5546875" style="11"/>
    <col min="3359" max="3359" width="15.109375" style="11" customWidth="1"/>
    <col min="3360" max="3360" width="13" style="11" customWidth="1"/>
    <col min="3361" max="3361" width="11.5546875" style="11"/>
    <col min="3362" max="3362" width="11.77734375" style="11" customWidth="1"/>
    <col min="3363" max="3584" width="11.5546875" style="11"/>
    <col min="3585" max="3585" width="20.109375" style="11" customWidth="1"/>
    <col min="3586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1.5546875" style="11"/>
    <col min="3615" max="3615" width="15.109375" style="11" customWidth="1"/>
    <col min="3616" max="3616" width="13" style="11" customWidth="1"/>
    <col min="3617" max="3617" width="11.5546875" style="11"/>
    <col min="3618" max="3618" width="11.77734375" style="11" customWidth="1"/>
    <col min="3619" max="3840" width="11.5546875" style="11"/>
    <col min="3841" max="3841" width="20.109375" style="11" customWidth="1"/>
    <col min="3842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1.5546875" style="11"/>
    <col min="3871" max="3871" width="15.109375" style="11" customWidth="1"/>
    <col min="3872" max="3872" width="13" style="11" customWidth="1"/>
    <col min="3873" max="3873" width="11.5546875" style="11"/>
    <col min="3874" max="3874" width="11.77734375" style="11" customWidth="1"/>
    <col min="3875" max="4096" width="11.5546875" style="11"/>
    <col min="4097" max="4097" width="20.109375" style="11" customWidth="1"/>
    <col min="4098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1.5546875" style="11"/>
    <col min="4127" max="4127" width="15.109375" style="11" customWidth="1"/>
    <col min="4128" max="4128" width="13" style="11" customWidth="1"/>
    <col min="4129" max="4129" width="11.5546875" style="11"/>
    <col min="4130" max="4130" width="11.77734375" style="11" customWidth="1"/>
    <col min="4131" max="4352" width="11.5546875" style="11"/>
    <col min="4353" max="4353" width="20.109375" style="11" customWidth="1"/>
    <col min="4354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1.5546875" style="11"/>
    <col min="4383" max="4383" width="15.109375" style="11" customWidth="1"/>
    <col min="4384" max="4384" width="13" style="11" customWidth="1"/>
    <col min="4385" max="4385" width="11.5546875" style="11"/>
    <col min="4386" max="4386" width="11.77734375" style="11" customWidth="1"/>
    <col min="4387" max="4608" width="11.5546875" style="11"/>
    <col min="4609" max="4609" width="20.109375" style="11" customWidth="1"/>
    <col min="4610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1.5546875" style="11"/>
    <col min="4639" max="4639" width="15.109375" style="11" customWidth="1"/>
    <col min="4640" max="4640" width="13" style="11" customWidth="1"/>
    <col min="4641" max="4641" width="11.5546875" style="11"/>
    <col min="4642" max="4642" width="11.77734375" style="11" customWidth="1"/>
    <col min="4643" max="4864" width="11.5546875" style="11"/>
    <col min="4865" max="4865" width="20.109375" style="11" customWidth="1"/>
    <col min="4866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1.5546875" style="11"/>
    <col min="4895" max="4895" width="15.109375" style="11" customWidth="1"/>
    <col min="4896" max="4896" width="13" style="11" customWidth="1"/>
    <col min="4897" max="4897" width="11.5546875" style="11"/>
    <col min="4898" max="4898" width="11.77734375" style="11" customWidth="1"/>
    <col min="4899" max="5120" width="11.5546875" style="11"/>
    <col min="5121" max="5121" width="20.109375" style="11" customWidth="1"/>
    <col min="5122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1.5546875" style="11"/>
    <col min="5151" max="5151" width="15.109375" style="11" customWidth="1"/>
    <col min="5152" max="5152" width="13" style="11" customWidth="1"/>
    <col min="5153" max="5153" width="11.5546875" style="11"/>
    <col min="5154" max="5154" width="11.77734375" style="11" customWidth="1"/>
    <col min="5155" max="5376" width="11.5546875" style="11"/>
    <col min="5377" max="5377" width="20.109375" style="11" customWidth="1"/>
    <col min="5378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1.5546875" style="11"/>
    <col min="5407" max="5407" width="15.109375" style="11" customWidth="1"/>
    <col min="5408" max="5408" width="13" style="11" customWidth="1"/>
    <col min="5409" max="5409" width="11.5546875" style="11"/>
    <col min="5410" max="5410" width="11.77734375" style="11" customWidth="1"/>
    <col min="5411" max="5632" width="11.5546875" style="11"/>
    <col min="5633" max="5633" width="20.109375" style="11" customWidth="1"/>
    <col min="5634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1.5546875" style="11"/>
    <col min="5663" max="5663" width="15.109375" style="11" customWidth="1"/>
    <col min="5664" max="5664" width="13" style="11" customWidth="1"/>
    <col min="5665" max="5665" width="11.5546875" style="11"/>
    <col min="5666" max="5666" width="11.77734375" style="11" customWidth="1"/>
    <col min="5667" max="5888" width="11.5546875" style="11"/>
    <col min="5889" max="5889" width="20.109375" style="11" customWidth="1"/>
    <col min="5890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1.5546875" style="11"/>
    <col min="5919" max="5919" width="15.109375" style="11" customWidth="1"/>
    <col min="5920" max="5920" width="13" style="11" customWidth="1"/>
    <col min="5921" max="5921" width="11.5546875" style="11"/>
    <col min="5922" max="5922" width="11.77734375" style="11" customWidth="1"/>
    <col min="5923" max="6144" width="11.5546875" style="11"/>
    <col min="6145" max="6145" width="20.109375" style="11" customWidth="1"/>
    <col min="6146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1.5546875" style="11"/>
    <col min="6175" max="6175" width="15.109375" style="11" customWidth="1"/>
    <col min="6176" max="6176" width="13" style="11" customWidth="1"/>
    <col min="6177" max="6177" width="11.5546875" style="11"/>
    <col min="6178" max="6178" width="11.77734375" style="11" customWidth="1"/>
    <col min="6179" max="6400" width="11.5546875" style="11"/>
    <col min="6401" max="6401" width="20.109375" style="11" customWidth="1"/>
    <col min="6402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1.5546875" style="11"/>
    <col min="6431" max="6431" width="15.109375" style="11" customWidth="1"/>
    <col min="6432" max="6432" width="13" style="11" customWidth="1"/>
    <col min="6433" max="6433" width="11.5546875" style="11"/>
    <col min="6434" max="6434" width="11.77734375" style="11" customWidth="1"/>
    <col min="6435" max="6656" width="11.5546875" style="11"/>
    <col min="6657" max="6657" width="20.109375" style="11" customWidth="1"/>
    <col min="6658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1.5546875" style="11"/>
    <col min="6687" max="6687" width="15.109375" style="11" customWidth="1"/>
    <col min="6688" max="6688" width="13" style="11" customWidth="1"/>
    <col min="6689" max="6689" width="11.5546875" style="11"/>
    <col min="6690" max="6690" width="11.77734375" style="11" customWidth="1"/>
    <col min="6691" max="6912" width="11.5546875" style="11"/>
    <col min="6913" max="6913" width="20.109375" style="11" customWidth="1"/>
    <col min="6914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1.5546875" style="11"/>
    <col min="6943" max="6943" width="15.109375" style="11" customWidth="1"/>
    <col min="6944" max="6944" width="13" style="11" customWidth="1"/>
    <col min="6945" max="6945" width="11.5546875" style="11"/>
    <col min="6946" max="6946" width="11.77734375" style="11" customWidth="1"/>
    <col min="6947" max="7168" width="11.5546875" style="11"/>
    <col min="7169" max="7169" width="20.109375" style="11" customWidth="1"/>
    <col min="7170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1.5546875" style="11"/>
    <col min="7199" max="7199" width="15.109375" style="11" customWidth="1"/>
    <col min="7200" max="7200" width="13" style="11" customWidth="1"/>
    <col min="7201" max="7201" width="11.5546875" style="11"/>
    <col min="7202" max="7202" width="11.77734375" style="11" customWidth="1"/>
    <col min="7203" max="7424" width="11.5546875" style="11"/>
    <col min="7425" max="7425" width="20.109375" style="11" customWidth="1"/>
    <col min="7426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1.5546875" style="11"/>
    <col min="7455" max="7455" width="15.109375" style="11" customWidth="1"/>
    <col min="7456" max="7456" width="13" style="11" customWidth="1"/>
    <col min="7457" max="7457" width="11.5546875" style="11"/>
    <col min="7458" max="7458" width="11.77734375" style="11" customWidth="1"/>
    <col min="7459" max="7680" width="11.5546875" style="11"/>
    <col min="7681" max="7681" width="20.109375" style="11" customWidth="1"/>
    <col min="7682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1.5546875" style="11"/>
    <col min="7711" max="7711" width="15.109375" style="11" customWidth="1"/>
    <col min="7712" max="7712" width="13" style="11" customWidth="1"/>
    <col min="7713" max="7713" width="11.5546875" style="11"/>
    <col min="7714" max="7714" width="11.77734375" style="11" customWidth="1"/>
    <col min="7715" max="7936" width="11.5546875" style="11"/>
    <col min="7937" max="7937" width="20.109375" style="11" customWidth="1"/>
    <col min="7938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1.5546875" style="11"/>
    <col min="7967" max="7967" width="15.109375" style="11" customWidth="1"/>
    <col min="7968" max="7968" width="13" style="11" customWidth="1"/>
    <col min="7969" max="7969" width="11.5546875" style="11"/>
    <col min="7970" max="7970" width="11.77734375" style="11" customWidth="1"/>
    <col min="7971" max="8192" width="11.5546875" style="11"/>
    <col min="8193" max="8193" width="20.109375" style="11" customWidth="1"/>
    <col min="8194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1.5546875" style="11"/>
    <col min="8223" max="8223" width="15.109375" style="11" customWidth="1"/>
    <col min="8224" max="8224" width="13" style="11" customWidth="1"/>
    <col min="8225" max="8225" width="11.5546875" style="11"/>
    <col min="8226" max="8226" width="11.77734375" style="11" customWidth="1"/>
    <col min="8227" max="8448" width="11.5546875" style="11"/>
    <col min="8449" max="8449" width="20.109375" style="11" customWidth="1"/>
    <col min="8450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1.5546875" style="11"/>
    <col min="8479" max="8479" width="15.109375" style="11" customWidth="1"/>
    <col min="8480" max="8480" width="13" style="11" customWidth="1"/>
    <col min="8481" max="8481" width="11.5546875" style="11"/>
    <col min="8482" max="8482" width="11.77734375" style="11" customWidth="1"/>
    <col min="8483" max="8704" width="11.5546875" style="11"/>
    <col min="8705" max="8705" width="20.109375" style="11" customWidth="1"/>
    <col min="8706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1.5546875" style="11"/>
    <col min="8735" max="8735" width="15.109375" style="11" customWidth="1"/>
    <col min="8736" max="8736" width="13" style="11" customWidth="1"/>
    <col min="8737" max="8737" width="11.5546875" style="11"/>
    <col min="8738" max="8738" width="11.77734375" style="11" customWidth="1"/>
    <col min="8739" max="8960" width="11.5546875" style="11"/>
    <col min="8961" max="8961" width="20.109375" style="11" customWidth="1"/>
    <col min="8962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1.5546875" style="11"/>
    <col min="8991" max="8991" width="15.109375" style="11" customWidth="1"/>
    <col min="8992" max="8992" width="13" style="11" customWidth="1"/>
    <col min="8993" max="8993" width="11.5546875" style="11"/>
    <col min="8994" max="8994" width="11.77734375" style="11" customWidth="1"/>
    <col min="8995" max="9216" width="11.5546875" style="11"/>
    <col min="9217" max="9217" width="20.109375" style="11" customWidth="1"/>
    <col min="9218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1.5546875" style="11"/>
    <col min="9247" max="9247" width="15.109375" style="11" customWidth="1"/>
    <col min="9248" max="9248" width="13" style="11" customWidth="1"/>
    <col min="9249" max="9249" width="11.5546875" style="11"/>
    <col min="9250" max="9250" width="11.77734375" style="11" customWidth="1"/>
    <col min="9251" max="9472" width="11.5546875" style="11"/>
    <col min="9473" max="9473" width="20.109375" style="11" customWidth="1"/>
    <col min="9474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1.5546875" style="11"/>
    <col min="9503" max="9503" width="15.109375" style="11" customWidth="1"/>
    <col min="9504" max="9504" width="13" style="11" customWidth="1"/>
    <col min="9505" max="9505" width="11.5546875" style="11"/>
    <col min="9506" max="9506" width="11.77734375" style="11" customWidth="1"/>
    <col min="9507" max="9728" width="11.5546875" style="11"/>
    <col min="9729" max="9729" width="20.109375" style="11" customWidth="1"/>
    <col min="9730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1.5546875" style="11"/>
    <col min="9759" max="9759" width="15.109375" style="11" customWidth="1"/>
    <col min="9760" max="9760" width="13" style="11" customWidth="1"/>
    <col min="9761" max="9761" width="11.5546875" style="11"/>
    <col min="9762" max="9762" width="11.77734375" style="11" customWidth="1"/>
    <col min="9763" max="9984" width="11.5546875" style="11"/>
    <col min="9985" max="9985" width="20.109375" style="11" customWidth="1"/>
    <col min="9986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1.5546875" style="11"/>
    <col min="10015" max="10015" width="15.109375" style="11" customWidth="1"/>
    <col min="10016" max="10016" width="13" style="11" customWidth="1"/>
    <col min="10017" max="10017" width="11.5546875" style="11"/>
    <col min="10018" max="10018" width="11.77734375" style="11" customWidth="1"/>
    <col min="10019" max="10240" width="11.5546875" style="11"/>
    <col min="10241" max="10241" width="20.109375" style="11" customWidth="1"/>
    <col min="10242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1.5546875" style="11"/>
    <col min="10271" max="10271" width="15.109375" style="11" customWidth="1"/>
    <col min="10272" max="10272" width="13" style="11" customWidth="1"/>
    <col min="10273" max="10273" width="11.5546875" style="11"/>
    <col min="10274" max="10274" width="11.77734375" style="11" customWidth="1"/>
    <col min="10275" max="10496" width="11.5546875" style="11"/>
    <col min="10497" max="10497" width="20.109375" style="11" customWidth="1"/>
    <col min="10498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1.5546875" style="11"/>
    <col min="10527" max="10527" width="15.109375" style="11" customWidth="1"/>
    <col min="10528" max="10528" width="13" style="11" customWidth="1"/>
    <col min="10529" max="10529" width="11.5546875" style="11"/>
    <col min="10530" max="10530" width="11.77734375" style="11" customWidth="1"/>
    <col min="10531" max="10752" width="11.5546875" style="11"/>
    <col min="10753" max="10753" width="20.109375" style="11" customWidth="1"/>
    <col min="10754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1.5546875" style="11"/>
    <col min="10783" max="10783" width="15.109375" style="11" customWidth="1"/>
    <col min="10784" max="10784" width="13" style="11" customWidth="1"/>
    <col min="10785" max="10785" width="11.5546875" style="11"/>
    <col min="10786" max="10786" width="11.77734375" style="11" customWidth="1"/>
    <col min="10787" max="11008" width="11.5546875" style="11"/>
    <col min="11009" max="11009" width="20.109375" style="11" customWidth="1"/>
    <col min="11010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1.5546875" style="11"/>
    <col min="11039" max="11039" width="15.109375" style="11" customWidth="1"/>
    <col min="11040" max="11040" width="13" style="11" customWidth="1"/>
    <col min="11041" max="11041" width="11.5546875" style="11"/>
    <col min="11042" max="11042" width="11.77734375" style="11" customWidth="1"/>
    <col min="11043" max="11264" width="11.5546875" style="11"/>
    <col min="11265" max="11265" width="20.109375" style="11" customWidth="1"/>
    <col min="11266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1.5546875" style="11"/>
    <col min="11295" max="11295" width="15.109375" style="11" customWidth="1"/>
    <col min="11296" max="11296" width="13" style="11" customWidth="1"/>
    <col min="11297" max="11297" width="11.5546875" style="11"/>
    <col min="11298" max="11298" width="11.77734375" style="11" customWidth="1"/>
    <col min="11299" max="11520" width="11.5546875" style="11"/>
    <col min="11521" max="11521" width="20.109375" style="11" customWidth="1"/>
    <col min="11522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1.5546875" style="11"/>
    <col min="11551" max="11551" width="15.109375" style="11" customWidth="1"/>
    <col min="11552" max="11552" width="13" style="11" customWidth="1"/>
    <col min="11553" max="11553" width="11.5546875" style="11"/>
    <col min="11554" max="11554" width="11.77734375" style="11" customWidth="1"/>
    <col min="11555" max="11776" width="11.5546875" style="11"/>
    <col min="11777" max="11777" width="20.109375" style="11" customWidth="1"/>
    <col min="11778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1.5546875" style="11"/>
    <col min="11807" max="11807" width="15.109375" style="11" customWidth="1"/>
    <col min="11808" max="11808" width="13" style="11" customWidth="1"/>
    <col min="11809" max="11809" width="11.5546875" style="11"/>
    <col min="11810" max="11810" width="11.77734375" style="11" customWidth="1"/>
    <col min="11811" max="12032" width="11.5546875" style="11"/>
    <col min="12033" max="12033" width="20.109375" style="11" customWidth="1"/>
    <col min="12034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1.5546875" style="11"/>
    <col min="12063" max="12063" width="15.109375" style="11" customWidth="1"/>
    <col min="12064" max="12064" width="13" style="11" customWidth="1"/>
    <col min="12065" max="12065" width="11.5546875" style="11"/>
    <col min="12066" max="12066" width="11.77734375" style="11" customWidth="1"/>
    <col min="12067" max="12288" width="11.5546875" style="11"/>
    <col min="12289" max="12289" width="20.109375" style="11" customWidth="1"/>
    <col min="12290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1.5546875" style="11"/>
    <col min="12319" max="12319" width="15.109375" style="11" customWidth="1"/>
    <col min="12320" max="12320" width="13" style="11" customWidth="1"/>
    <col min="12321" max="12321" width="11.5546875" style="11"/>
    <col min="12322" max="12322" width="11.77734375" style="11" customWidth="1"/>
    <col min="12323" max="12544" width="11.5546875" style="11"/>
    <col min="12545" max="12545" width="20.109375" style="11" customWidth="1"/>
    <col min="12546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1.5546875" style="11"/>
    <col min="12575" max="12575" width="15.109375" style="11" customWidth="1"/>
    <col min="12576" max="12576" width="13" style="11" customWidth="1"/>
    <col min="12577" max="12577" width="11.5546875" style="11"/>
    <col min="12578" max="12578" width="11.77734375" style="11" customWidth="1"/>
    <col min="12579" max="12800" width="11.5546875" style="11"/>
    <col min="12801" max="12801" width="20.109375" style="11" customWidth="1"/>
    <col min="12802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1.5546875" style="11"/>
    <col min="12831" max="12831" width="15.109375" style="11" customWidth="1"/>
    <col min="12832" max="12832" width="13" style="11" customWidth="1"/>
    <col min="12833" max="12833" width="11.5546875" style="11"/>
    <col min="12834" max="12834" width="11.77734375" style="11" customWidth="1"/>
    <col min="12835" max="13056" width="11.5546875" style="11"/>
    <col min="13057" max="13057" width="20.109375" style="11" customWidth="1"/>
    <col min="13058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1.5546875" style="11"/>
    <col min="13087" max="13087" width="15.109375" style="11" customWidth="1"/>
    <col min="13088" max="13088" width="13" style="11" customWidth="1"/>
    <col min="13089" max="13089" width="11.5546875" style="11"/>
    <col min="13090" max="13090" width="11.77734375" style="11" customWidth="1"/>
    <col min="13091" max="13312" width="11.5546875" style="11"/>
    <col min="13313" max="13313" width="20.109375" style="11" customWidth="1"/>
    <col min="13314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1.5546875" style="11"/>
    <col min="13343" max="13343" width="15.109375" style="11" customWidth="1"/>
    <col min="13344" max="13344" width="13" style="11" customWidth="1"/>
    <col min="13345" max="13345" width="11.5546875" style="11"/>
    <col min="13346" max="13346" width="11.77734375" style="11" customWidth="1"/>
    <col min="13347" max="13568" width="11.5546875" style="11"/>
    <col min="13569" max="13569" width="20.109375" style="11" customWidth="1"/>
    <col min="13570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1.5546875" style="11"/>
    <col min="13599" max="13599" width="15.109375" style="11" customWidth="1"/>
    <col min="13600" max="13600" width="13" style="11" customWidth="1"/>
    <col min="13601" max="13601" width="11.5546875" style="11"/>
    <col min="13602" max="13602" width="11.77734375" style="11" customWidth="1"/>
    <col min="13603" max="13824" width="11.5546875" style="11"/>
    <col min="13825" max="13825" width="20.109375" style="11" customWidth="1"/>
    <col min="13826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1.5546875" style="11"/>
    <col min="13855" max="13855" width="15.109375" style="11" customWidth="1"/>
    <col min="13856" max="13856" width="13" style="11" customWidth="1"/>
    <col min="13857" max="13857" width="11.5546875" style="11"/>
    <col min="13858" max="13858" width="11.77734375" style="11" customWidth="1"/>
    <col min="13859" max="14080" width="11.5546875" style="11"/>
    <col min="14081" max="14081" width="20.109375" style="11" customWidth="1"/>
    <col min="14082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1.5546875" style="11"/>
    <col min="14111" max="14111" width="15.109375" style="11" customWidth="1"/>
    <col min="14112" max="14112" width="13" style="11" customWidth="1"/>
    <col min="14113" max="14113" width="11.5546875" style="11"/>
    <col min="14114" max="14114" width="11.77734375" style="11" customWidth="1"/>
    <col min="14115" max="14336" width="11.5546875" style="11"/>
    <col min="14337" max="14337" width="20.109375" style="11" customWidth="1"/>
    <col min="14338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1.5546875" style="11"/>
    <col min="14367" max="14367" width="15.109375" style="11" customWidth="1"/>
    <col min="14368" max="14368" width="13" style="11" customWidth="1"/>
    <col min="14369" max="14369" width="11.5546875" style="11"/>
    <col min="14370" max="14370" width="11.77734375" style="11" customWidth="1"/>
    <col min="14371" max="14592" width="11.5546875" style="11"/>
    <col min="14593" max="14593" width="20.109375" style="11" customWidth="1"/>
    <col min="14594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1.5546875" style="11"/>
    <col min="14623" max="14623" width="15.109375" style="11" customWidth="1"/>
    <col min="14624" max="14624" width="13" style="11" customWidth="1"/>
    <col min="14625" max="14625" width="11.5546875" style="11"/>
    <col min="14626" max="14626" width="11.77734375" style="11" customWidth="1"/>
    <col min="14627" max="14848" width="11.5546875" style="11"/>
    <col min="14849" max="14849" width="20.109375" style="11" customWidth="1"/>
    <col min="14850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1.5546875" style="11"/>
    <col min="14879" max="14879" width="15.109375" style="11" customWidth="1"/>
    <col min="14880" max="14880" width="13" style="11" customWidth="1"/>
    <col min="14881" max="14881" width="11.5546875" style="11"/>
    <col min="14882" max="14882" width="11.77734375" style="11" customWidth="1"/>
    <col min="14883" max="15104" width="11.5546875" style="11"/>
    <col min="15105" max="15105" width="20.109375" style="11" customWidth="1"/>
    <col min="15106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1.5546875" style="11"/>
    <col min="15135" max="15135" width="15.109375" style="11" customWidth="1"/>
    <col min="15136" max="15136" width="13" style="11" customWidth="1"/>
    <col min="15137" max="15137" width="11.5546875" style="11"/>
    <col min="15138" max="15138" width="11.77734375" style="11" customWidth="1"/>
    <col min="15139" max="15360" width="11.5546875" style="11"/>
    <col min="15361" max="15361" width="20.109375" style="11" customWidth="1"/>
    <col min="15362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1.5546875" style="11"/>
    <col min="15391" max="15391" width="15.109375" style="11" customWidth="1"/>
    <col min="15392" max="15392" width="13" style="11" customWidth="1"/>
    <col min="15393" max="15393" width="11.5546875" style="11"/>
    <col min="15394" max="15394" width="11.77734375" style="11" customWidth="1"/>
    <col min="15395" max="15616" width="11.5546875" style="11"/>
    <col min="15617" max="15617" width="20.109375" style="11" customWidth="1"/>
    <col min="15618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1.5546875" style="11"/>
    <col min="15647" max="15647" width="15.109375" style="11" customWidth="1"/>
    <col min="15648" max="15648" width="13" style="11" customWidth="1"/>
    <col min="15649" max="15649" width="11.5546875" style="11"/>
    <col min="15650" max="15650" width="11.77734375" style="11" customWidth="1"/>
    <col min="15651" max="15872" width="11.5546875" style="11"/>
    <col min="15873" max="15873" width="20.109375" style="11" customWidth="1"/>
    <col min="15874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1.5546875" style="11"/>
    <col min="15903" max="15903" width="15.109375" style="11" customWidth="1"/>
    <col min="15904" max="15904" width="13" style="11" customWidth="1"/>
    <col min="15905" max="15905" width="11.5546875" style="11"/>
    <col min="15906" max="15906" width="11.77734375" style="11" customWidth="1"/>
    <col min="15907" max="16128" width="11.5546875" style="11"/>
    <col min="16129" max="16129" width="20.109375" style="11" customWidth="1"/>
    <col min="16130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1.5546875" style="11"/>
    <col min="16159" max="16159" width="15.109375" style="11" customWidth="1"/>
    <col min="16160" max="16160" width="13" style="11" customWidth="1"/>
    <col min="16161" max="16161" width="11.5546875" style="11"/>
    <col min="16162" max="16162" width="11.77734375" style="11" customWidth="1"/>
    <col min="16163" max="16384" width="11.5546875" style="11"/>
  </cols>
  <sheetData>
    <row r="1" spans="1:52" ht="36.7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121"/>
      <c r="M1" s="50"/>
      <c r="O1" s="9"/>
      <c r="P1" s="9"/>
      <c r="Q1" s="9"/>
      <c r="R1" s="9"/>
      <c r="S1" s="9"/>
      <c r="T1" s="9"/>
      <c r="U1" s="9"/>
      <c r="V1" s="9"/>
      <c r="Y1" s="12"/>
      <c r="AA1" s="12"/>
      <c r="AC1" s="12"/>
    </row>
    <row r="2" spans="1:52" ht="18" customHeight="1" x14ac:dyDescent="0.25">
      <c r="A2" s="122"/>
      <c r="B2" s="9"/>
      <c r="C2" s="9"/>
      <c r="D2" s="14"/>
      <c r="E2" s="9"/>
      <c r="F2" s="9"/>
      <c r="G2" s="9"/>
      <c r="H2" s="9"/>
      <c r="I2" s="9"/>
      <c r="J2" s="9"/>
      <c r="K2" s="9"/>
      <c r="L2" s="121"/>
      <c r="M2" s="50"/>
      <c r="N2" s="123"/>
      <c r="O2" s="9"/>
      <c r="P2" s="9"/>
      <c r="Q2" s="9"/>
      <c r="R2" s="9"/>
      <c r="S2" s="9"/>
      <c r="T2" s="9"/>
      <c r="U2" s="9"/>
      <c r="V2" s="9"/>
      <c r="W2" s="13"/>
      <c r="Y2" s="13"/>
      <c r="AA2" s="13"/>
      <c r="AC2" s="13"/>
    </row>
    <row r="3" spans="1:52" ht="21" customHeight="1" x14ac:dyDescent="0.2">
      <c r="A3" s="14"/>
      <c r="B3" s="9"/>
      <c r="C3" s="9"/>
      <c r="D3" s="14"/>
      <c r="E3" s="9"/>
      <c r="F3" s="9"/>
      <c r="G3" s="9"/>
      <c r="H3" s="9"/>
      <c r="I3" s="9"/>
      <c r="J3" s="9"/>
      <c r="K3" s="9"/>
      <c r="L3" s="6"/>
      <c r="M3" s="51"/>
      <c r="N3" s="38"/>
      <c r="O3" s="124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9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9.75" customHeight="1" thickBo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125"/>
      <c r="AC5" s="21"/>
    </row>
    <row r="6" spans="1:52" ht="19.5" customHeight="1" thickTop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73"/>
      <c r="H6" s="174"/>
      <c r="I6" s="174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5"/>
      <c r="Y6" s="68" t="s">
        <v>16</v>
      </c>
      <c r="Z6" s="5"/>
      <c r="AA6" s="126"/>
      <c r="AB6" s="5"/>
      <c r="AC6" s="68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5"/>
      <c r="H7" s="175"/>
      <c r="I7" s="175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5"/>
      <c r="Y7" s="70" t="s">
        <v>17</v>
      </c>
      <c r="Z7" s="5"/>
      <c r="AA7" s="127"/>
      <c r="AB7" s="5"/>
      <c r="AC7" s="70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128"/>
      <c r="H8" s="129"/>
      <c r="I8" s="129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5"/>
      <c r="Y8" s="70" t="s">
        <v>18</v>
      </c>
      <c r="Z8" s="5"/>
      <c r="AA8" s="130"/>
      <c r="AB8" s="5"/>
      <c r="AC8" s="70" t="s">
        <v>19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" customHeight="1" thickBot="1" x14ac:dyDescent="0.3">
      <c r="A9" s="79"/>
      <c r="B9" s="70"/>
      <c r="C9" s="70"/>
      <c r="D9" s="70"/>
      <c r="E9" s="70" t="s">
        <v>6</v>
      </c>
      <c r="F9" s="79"/>
      <c r="G9" s="131"/>
      <c r="H9" s="132"/>
      <c r="I9" s="13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5"/>
      <c r="Y9" s="70" t="s">
        <v>13</v>
      </c>
      <c r="Z9" s="5"/>
      <c r="AA9" s="133"/>
      <c r="AB9" s="5"/>
      <c r="AC9" s="70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thickTop="1" x14ac:dyDescent="0.25">
      <c r="A10" s="134" t="s">
        <v>73</v>
      </c>
      <c r="B10" s="2">
        <v>9363194.0617999993</v>
      </c>
      <c r="C10" s="2">
        <v>3113575.6746</v>
      </c>
      <c r="D10" s="89">
        <f>B10+C10</f>
        <v>12476769.736399999</v>
      </c>
      <c r="E10" s="2">
        <v>350.08400000000006</v>
      </c>
      <c r="F10" s="89">
        <f>+D10+E10</f>
        <v>12477119.8204</v>
      </c>
      <c r="G10" s="2">
        <v>0</v>
      </c>
      <c r="H10" s="2">
        <v>0</v>
      </c>
      <c r="I10" s="2">
        <v>0</v>
      </c>
      <c r="J10" s="2">
        <v>291971.25669999997</v>
      </c>
      <c r="K10" s="2">
        <v>69509.8226</v>
      </c>
      <c r="L10" s="2">
        <v>0.1411</v>
      </c>
      <c r="M10" s="2">
        <v>186373.8498</v>
      </c>
      <c r="N10" s="2">
        <v>34855.4787</v>
      </c>
      <c r="O10" s="2">
        <v>75141.487899999993</v>
      </c>
      <c r="P10" s="2">
        <v>1857.7324475356534</v>
      </c>
      <c r="Q10" s="2">
        <v>112442.78869999999</v>
      </c>
      <c r="R10" s="2">
        <v>3437.8294000000005</v>
      </c>
      <c r="S10" s="2">
        <v>0</v>
      </c>
      <c r="T10" s="2">
        <v>2502.487736925681</v>
      </c>
      <c r="U10" s="2">
        <v>0</v>
      </c>
      <c r="V10" s="2">
        <v>71204.852599999998</v>
      </c>
      <c r="W10" s="89">
        <f t="shared" ref="W10:W32" si="0">SUM(F10:V10)</f>
        <v>13326417.54808446</v>
      </c>
      <c r="X10" s="3"/>
      <c r="Y10" s="135">
        <v>1588896.8590559997</v>
      </c>
      <c r="Z10" s="40"/>
      <c r="AA10" s="41"/>
      <c r="AB10" s="3"/>
      <c r="AC10" s="89">
        <f>+W10+Y10+AA10</f>
        <v>14915314.40714046</v>
      </c>
      <c r="AD10" s="5"/>
      <c r="AE10" s="115"/>
      <c r="AF10" s="153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134" t="s">
        <v>74</v>
      </c>
      <c r="B11" s="2">
        <v>1419773.6722000001</v>
      </c>
      <c r="C11" s="2">
        <v>145124.28999999998</v>
      </c>
      <c r="D11" s="89">
        <f t="shared" ref="D11:D38" si="1">B11+C11</f>
        <v>1564897.9622000002</v>
      </c>
      <c r="E11" s="2">
        <v>17.832999999999995</v>
      </c>
      <c r="F11" s="89">
        <f t="shared" ref="F11:F32" si="2">+D11+E11</f>
        <v>1564915.7952000003</v>
      </c>
      <c r="G11" s="2">
        <v>0</v>
      </c>
      <c r="H11" s="2">
        <v>0</v>
      </c>
      <c r="I11" s="2">
        <v>0</v>
      </c>
      <c r="J11" s="2">
        <v>36620.474200000004</v>
      </c>
      <c r="K11" s="2">
        <v>0</v>
      </c>
      <c r="L11" s="2">
        <v>1.06E-2</v>
      </c>
      <c r="M11" s="2">
        <v>0</v>
      </c>
      <c r="N11" s="2">
        <v>4375.5757000000003</v>
      </c>
      <c r="O11" s="2">
        <v>7713.8666000000003</v>
      </c>
      <c r="P11" s="2">
        <v>2799.8729726273286</v>
      </c>
      <c r="Q11" s="2">
        <v>16284.8176</v>
      </c>
      <c r="R11" s="2">
        <v>4996.3168000000005</v>
      </c>
      <c r="S11" s="2">
        <v>0</v>
      </c>
      <c r="T11" s="2">
        <v>3771.6129620028646</v>
      </c>
      <c r="U11" s="2">
        <v>22</v>
      </c>
      <c r="V11" s="2">
        <v>8931.0003000000015</v>
      </c>
      <c r="W11" s="89">
        <f t="shared" si="0"/>
        <v>1650431.3429346303</v>
      </c>
      <c r="X11" s="3"/>
      <c r="Y11" s="135">
        <v>33977.397584999999</v>
      </c>
      <c r="Z11" s="40"/>
      <c r="AA11" s="41"/>
      <c r="AB11" s="3"/>
      <c r="AC11" s="89">
        <f t="shared" ref="AC11:AC38" si="3">+W11+Y11+AA11</f>
        <v>1684408.7405196303</v>
      </c>
      <c r="AD11" s="5"/>
      <c r="AE11" s="115"/>
      <c r="AF11" s="153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134" t="s">
        <v>75</v>
      </c>
      <c r="B12" s="2">
        <v>4377686.0554</v>
      </c>
      <c r="C12" s="2">
        <v>667194.78740000003</v>
      </c>
      <c r="D12" s="89">
        <f t="shared" si="1"/>
        <v>5044880.8427999998</v>
      </c>
      <c r="E12" s="2">
        <v>104.41699999999999</v>
      </c>
      <c r="F12" s="89">
        <f t="shared" si="2"/>
        <v>5044985.2598000001</v>
      </c>
      <c r="G12" s="2">
        <v>0</v>
      </c>
      <c r="H12" s="2">
        <v>0</v>
      </c>
      <c r="I12" s="2">
        <v>0</v>
      </c>
      <c r="J12" s="2">
        <v>118056.2142</v>
      </c>
      <c r="K12" s="2">
        <v>23737.902699999999</v>
      </c>
      <c r="L12" s="2">
        <v>3.9E-2</v>
      </c>
      <c r="M12" s="2">
        <v>63647.469099999995</v>
      </c>
      <c r="N12" s="2">
        <v>14105.748900000001</v>
      </c>
      <c r="O12" s="2">
        <v>33766.911700000004</v>
      </c>
      <c r="P12" s="2">
        <v>1857.7324475358807</v>
      </c>
      <c r="Q12" s="2">
        <v>43813.914200000007</v>
      </c>
      <c r="R12" s="2">
        <v>3243.8332999999998</v>
      </c>
      <c r="S12" s="2">
        <v>0</v>
      </c>
      <c r="T12" s="2">
        <v>2502.487736925681</v>
      </c>
      <c r="U12" s="2">
        <v>5</v>
      </c>
      <c r="V12" s="2">
        <v>28791.285100000001</v>
      </c>
      <c r="W12" s="89">
        <f t="shared" si="0"/>
        <v>5378513.7981844628</v>
      </c>
      <c r="X12" s="3"/>
      <c r="Y12" s="135">
        <v>75292.063283999989</v>
      </c>
      <c r="Z12" s="40"/>
      <c r="AA12" s="41"/>
      <c r="AB12" s="3"/>
      <c r="AC12" s="89">
        <f t="shared" si="3"/>
        <v>5453805.8614684632</v>
      </c>
      <c r="AD12" s="5"/>
      <c r="AE12" s="115"/>
      <c r="AF12" s="153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134" t="s">
        <v>76</v>
      </c>
      <c r="B13" s="2">
        <v>1808623.3845000002</v>
      </c>
      <c r="C13" s="2">
        <v>303441.69709999999</v>
      </c>
      <c r="D13" s="89">
        <f t="shared" si="1"/>
        <v>2112065.0816000002</v>
      </c>
      <c r="E13" s="2">
        <v>32.167000000000002</v>
      </c>
      <c r="F13" s="89">
        <f t="shared" si="2"/>
        <v>2112097.2486</v>
      </c>
      <c r="G13" s="2">
        <v>0</v>
      </c>
      <c r="H13" s="2">
        <v>0</v>
      </c>
      <c r="I13" s="2">
        <v>0</v>
      </c>
      <c r="J13" s="2">
        <v>49424.835900000005</v>
      </c>
      <c r="K13" s="2">
        <v>7590.2813999999998</v>
      </c>
      <c r="L13" s="2">
        <v>1.7500000000000002E-2</v>
      </c>
      <c r="M13" s="2">
        <v>20351.511699999999</v>
      </c>
      <c r="N13" s="2">
        <v>5905.4376000000002</v>
      </c>
      <c r="O13" s="2">
        <v>9946.3929000000007</v>
      </c>
      <c r="P13" s="2">
        <v>2351.8793663564225</v>
      </c>
      <c r="Q13" s="2">
        <v>38385.641599999995</v>
      </c>
      <c r="R13" s="2">
        <v>4623.2023999999992</v>
      </c>
      <c r="S13" s="2">
        <v>0</v>
      </c>
      <c r="T13" s="2">
        <v>3168.136122585076</v>
      </c>
      <c r="U13" s="2">
        <v>15</v>
      </c>
      <c r="V13" s="2">
        <v>12053.606400000001</v>
      </c>
      <c r="W13" s="89">
        <f t="shared" si="0"/>
        <v>2265913.1914889417</v>
      </c>
      <c r="X13" s="3"/>
      <c r="Y13" s="135">
        <v>78026.303333999997</v>
      </c>
      <c r="Z13" s="40"/>
      <c r="AA13" s="41"/>
      <c r="AB13" s="3"/>
      <c r="AC13" s="89">
        <f t="shared" si="3"/>
        <v>2343939.4948229417</v>
      </c>
      <c r="AD13" s="5"/>
      <c r="AE13" s="115"/>
      <c r="AF13" s="153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134" t="s">
        <v>77</v>
      </c>
      <c r="B14" s="2">
        <v>2485650.4376999997</v>
      </c>
      <c r="C14" s="2">
        <v>348675.24200000003</v>
      </c>
      <c r="D14" s="89">
        <f t="shared" si="1"/>
        <v>2834325.6796999997</v>
      </c>
      <c r="E14" s="2">
        <v>28</v>
      </c>
      <c r="F14" s="89">
        <f t="shared" si="2"/>
        <v>2834353.6796999997</v>
      </c>
      <c r="G14" s="2">
        <v>0</v>
      </c>
      <c r="H14" s="2">
        <v>0</v>
      </c>
      <c r="I14" s="2">
        <v>0</v>
      </c>
      <c r="J14" s="2">
        <v>66326.593099999998</v>
      </c>
      <c r="K14" s="2">
        <v>5967.2502999999997</v>
      </c>
      <c r="L14" s="2">
        <v>2.29E-2</v>
      </c>
      <c r="M14" s="2">
        <v>15999.744399999998</v>
      </c>
      <c r="N14" s="2">
        <v>7924.971199999999</v>
      </c>
      <c r="O14" s="2">
        <v>10068.040000000001</v>
      </c>
      <c r="P14" s="2">
        <v>2497.899360301863</v>
      </c>
      <c r="Q14" s="2">
        <v>35671.505300000004</v>
      </c>
      <c r="R14" s="2">
        <v>4744.5650999999998</v>
      </c>
      <c r="S14" s="2">
        <v>0</v>
      </c>
      <c r="T14" s="2">
        <v>3364.8346539833324</v>
      </c>
      <c r="U14" s="2">
        <v>5</v>
      </c>
      <c r="V14" s="2">
        <v>16175.6819</v>
      </c>
      <c r="W14" s="89">
        <f t="shared" si="0"/>
        <v>3003099.7879142854</v>
      </c>
      <c r="X14" s="3"/>
      <c r="Y14" s="135">
        <v>94996.718021999986</v>
      </c>
      <c r="Z14" s="40"/>
      <c r="AA14" s="41"/>
      <c r="AB14" s="3"/>
      <c r="AC14" s="89">
        <f t="shared" si="3"/>
        <v>3098096.5059362855</v>
      </c>
      <c r="AD14" s="5"/>
      <c r="AE14" s="115"/>
      <c r="AF14" s="153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134" t="s">
        <v>78</v>
      </c>
      <c r="B15" s="2">
        <v>757184.47680000018</v>
      </c>
      <c r="C15" s="2">
        <v>141354.82759999999</v>
      </c>
      <c r="D15" s="89">
        <f t="shared" si="1"/>
        <v>898539.30440000014</v>
      </c>
      <c r="E15" s="2">
        <v>20.167000000000005</v>
      </c>
      <c r="F15" s="89">
        <f t="shared" si="2"/>
        <v>898559.47140000015</v>
      </c>
      <c r="G15" s="2">
        <v>0</v>
      </c>
      <c r="H15" s="2">
        <v>0</v>
      </c>
      <c r="I15" s="2">
        <v>0</v>
      </c>
      <c r="J15" s="2">
        <v>21026.8887</v>
      </c>
      <c r="K15" s="2">
        <v>2334.2763999999997</v>
      </c>
      <c r="L15" s="2">
        <v>1.06E-2</v>
      </c>
      <c r="M15" s="2">
        <v>6258.8001000000004</v>
      </c>
      <c r="N15" s="2">
        <v>2512.4159000000004</v>
      </c>
      <c r="O15" s="2">
        <v>8782.2976000000017</v>
      </c>
      <c r="P15" s="2">
        <v>2619.0049238057259</v>
      </c>
      <c r="Q15" s="2">
        <v>24814.960199999998</v>
      </c>
      <c r="R15" s="2">
        <v>6786.6925000000001</v>
      </c>
      <c r="S15" s="2">
        <v>0</v>
      </c>
      <c r="T15" s="2">
        <v>3527.971809686303</v>
      </c>
      <c r="U15" s="2">
        <v>30</v>
      </c>
      <c r="V15" s="2">
        <v>5128.0994999999994</v>
      </c>
      <c r="W15" s="89">
        <f t="shared" si="0"/>
        <v>982380.88963349222</v>
      </c>
      <c r="X15" s="3"/>
      <c r="Y15" s="135">
        <v>17814.187508999996</v>
      </c>
      <c r="Z15" s="40"/>
      <c r="AA15" s="41"/>
      <c r="AB15" s="3"/>
      <c r="AC15" s="89">
        <f t="shared" si="3"/>
        <v>1000195.0771424922</v>
      </c>
      <c r="AD15" s="5"/>
      <c r="AE15" s="115"/>
      <c r="AF15" s="153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134" t="s">
        <v>79</v>
      </c>
      <c r="B16" s="2">
        <v>2479176.8889999995</v>
      </c>
      <c r="C16" s="2">
        <v>294960.40749999997</v>
      </c>
      <c r="D16" s="89">
        <f t="shared" si="1"/>
        <v>2774137.2964999992</v>
      </c>
      <c r="E16" s="2">
        <v>56.249000000000009</v>
      </c>
      <c r="F16" s="89">
        <f t="shared" si="2"/>
        <v>2774193.5454999991</v>
      </c>
      <c r="G16" s="2">
        <v>0</v>
      </c>
      <c r="H16" s="2">
        <v>0</v>
      </c>
      <c r="I16" s="2">
        <v>0</v>
      </c>
      <c r="J16" s="2">
        <v>64918.113499999992</v>
      </c>
      <c r="K16" s="2">
        <v>10301.7271</v>
      </c>
      <c r="L16" s="2">
        <v>1.8100000000000002E-2</v>
      </c>
      <c r="M16" s="2">
        <v>27621.600400000003</v>
      </c>
      <c r="N16" s="2">
        <v>7756.5564000000004</v>
      </c>
      <c r="O16" s="2">
        <v>12676.2709</v>
      </c>
      <c r="P16" s="2">
        <v>2149.686708272774</v>
      </c>
      <c r="Q16" s="2">
        <v>30243.232900000003</v>
      </c>
      <c r="R16" s="2">
        <v>4531.7462000000005</v>
      </c>
      <c r="S16" s="2">
        <v>0</v>
      </c>
      <c r="T16" s="2">
        <v>2895.7693197041999</v>
      </c>
      <c r="U16" s="2">
        <v>18</v>
      </c>
      <c r="V16" s="2">
        <v>15831.929900000001</v>
      </c>
      <c r="W16" s="89">
        <f t="shared" si="0"/>
        <v>2953138.1969279759</v>
      </c>
      <c r="X16" s="3"/>
      <c r="Y16" s="135">
        <v>42766.792766999999</v>
      </c>
      <c r="Z16" s="40"/>
      <c r="AA16" s="41"/>
      <c r="AB16" s="3"/>
      <c r="AC16" s="89">
        <f t="shared" si="3"/>
        <v>2995904.9896949758</v>
      </c>
      <c r="AD16" s="5"/>
      <c r="AE16" s="115"/>
      <c r="AF16" s="153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134" t="s">
        <v>80</v>
      </c>
      <c r="B17" s="2">
        <v>1869452.5877999999</v>
      </c>
      <c r="C17" s="2">
        <v>198839.12449999998</v>
      </c>
      <c r="D17" s="89">
        <f t="shared" si="1"/>
        <v>2068291.7122999998</v>
      </c>
      <c r="E17" s="2">
        <v>17.251000000000001</v>
      </c>
      <c r="F17" s="89">
        <f t="shared" si="2"/>
        <v>2068308.9632999997</v>
      </c>
      <c r="G17" s="2">
        <v>0</v>
      </c>
      <c r="H17" s="2">
        <v>0</v>
      </c>
      <c r="I17" s="2">
        <v>0</v>
      </c>
      <c r="J17" s="2">
        <v>48400.486899999996</v>
      </c>
      <c r="K17" s="2">
        <v>2779.6615999999999</v>
      </c>
      <c r="L17" s="2">
        <v>1.23E-2</v>
      </c>
      <c r="M17" s="2">
        <v>7452.9931999999999</v>
      </c>
      <c r="N17" s="2">
        <v>5783.1001999999989</v>
      </c>
      <c r="O17" s="2">
        <v>6783.5132999999996</v>
      </c>
      <c r="P17" s="2">
        <v>2886.4519577454207</v>
      </c>
      <c r="Q17" s="2">
        <v>31018.7003</v>
      </c>
      <c r="R17" s="2">
        <v>4949.7208000000001</v>
      </c>
      <c r="S17" s="2">
        <v>0</v>
      </c>
      <c r="T17" s="2">
        <v>3888.2405468006491</v>
      </c>
      <c r="U17" s="2">
        <v>22</v>
      </c>
      <c r="V17" s="2">
        <v>11803.902600000001</v>
      </c>
      <c r="W17" s="89">
        <f t="shared" si="0"/>
        <v>2194077.7470045467</v>
      </c>
      <c r="X17" s="3"/>
      <c r="Y17" s="135">
        <v>46335.184287000011</v>
      </c>
      <c r="Z17" s="40"/>
      <c r="AA17" s="41"/>
      <c r="AB17" s="3"/>
      <c r="AC17" s="89">
        <f t="shared" si="3"/>
        <v>2240412.9312915467</v>
      </c>
      <c r="AD17" s="5"/>
      <c r="AE17" s="115"/>
      <c r="AF17" s="153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134" t="s">
        <v>81</v>
      </c>
      <c r="B18" s="2">
        <v>1422842.8026999999</v>
      </c>
      <c r="C18" s="2">
        <v>191300.20040000003</v>
      </c>
      <c r="D18" s="89">
        <f t="shared" si="1"/>
        <v>1614143.0030999999</v>
      </c>
      <c r="E18" s="2">
        <v>27.75</v>
      </c>
      <c r="F18" s="89">
        <f t="shared" si="2"/>
        <v>1614170.7530999999</v>
      </c>
      <c r="G18" s="2">
        <v>0</v>
      </c>
      <c r="H18" s="2">
        <v>0</v>
      </c>
      <c r="I18" s="2">
        <v>0</v>
      </c>
      <c r="J18" s="2">
        <v>37772.866700000006</v>
      </c>
      <c r="K18" s="2">
        <v>0</v>
      </c>
      <c r="L18" s="2">
        <v>1.12E-2</v>
      </c>
      <c r="M18" s="2">
        <v>0</v>
      </c>
      <c r="N18" s="2">
        <v>4513.1653999999999</v>
      </c>
      <c r="O18" s="2">
        <v>7540.2887000000001</v>
      </c>
      <c r="P18" s="2">
        <v>2329.2634930596541</v>
      </c>
      <c r="Q18" s="2">
        <v>23264.025300000001</v>
      </c>
      <c r="R18" s="2">
        <v>5012.7041999999992</v>
      </c>
      <c r="S18" s="2">
        <v>0</v>
      </c>
      <c r="T18" s="2">
        <v>3137.6710544872326</v>
      </c>
      <c r="U18" s="2">
        <v>22</v>
      </c>
      <c r="V18" s="2">
        <v>9211.8348000000005</v>
      </c>
      <c r="W18" s="89">
        <f t="shared" si="0"/>
        <v>1706974.5839475468</v>
      </c>
      <c r="X18" s="3"/>
      <c r="Y18" s="135">
        <v>45110.011350000001</v>
      </c>
      <c r="Z18" s="40"/>
      <c r="AA18" s="41"/>
      <c r="AB18" s="3"/>
      <c r="AC18" s="89">
        <f t="shared" si="3"/>
        <v>1752084.5952975468</v>
      </c>
      <c r="AD18" s="5"/>
      <c r="AE18" s="115"/>
      <c r="AF18" s="153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134" t="s">
        <v>82</v>
      </c>
      <c r="B19" s="2">
        <v>987861.16500000004</v>
      </c>
      <c r="C19" s="2">
        <v>99890.744900000005</v>
      </c>
      <c r="D19" s="89">
        <f t="shared" si="1"/>
        <v>1087751.9099000001</v>
      </c>
      <c r="E19" s="2">
        <v>16</v>
      </c>
      <c r="F19" s="89">
        <f t="shared" si="2"/>
        <v>1087767.9099000001</v>
      </c>
      <c r="G19" s="2">
        <v>0</v>
      </c>
      <c r="H19" s="2">
        <v>0</v>
      </c>
      <c r="I19" s="2">
        <v>0</v>
      </c>
      <c r="J19" s="2">
        <v>25452.095000000005</v>
      </c>
      <c r="K19" s="2">
        <v>2049.8035</v>
      </c>
      <c r="L19" s="2">
        <v>9.4999999999999998E-3</v>
      </c>
      <c r="M19" s="2">
        <v>5497.0834999999997</v>
      </c>
      <c r="N19" s="2">
        <v>3041.0838999999996</v>
      </c>
      <c r="O19" s="2">
        <v>9517.2440000000006</v>
      </c>
      <c r="P19" s="2">
        <v>2067.7369850733671</v>
      </c>
      <c r="Q19" s="2">
        <v>15809.735100000002</v>
      </c>
      <c r="R19" s="2">
        <v>6225.2414000000008</v>
      </c>
      <c r="S19" s="2">
        <v>0</v>
      </c>
      <c r="T19" s="2">
        <v>2785.3776550303751</v>
      </c>
      <c r="U19" s="2">
        <v>25</v>
      </c>
      <c r="V19" s="2">
        <v>6207.1652000000004</v>
      </c>
      <c r="W19" s="89">
        <f t="shared" si="0"/>
        <v>1166445.4856401035</v>
      </c>
      <c r="X19" s="3"/>
      <c r="Y19" s="135">
        <v>0</v>
      </c>
      <c r="Z19" s="40"/>
      <c r="AA19" s="41"/>
      <c r="AB19" s="3"/>
      <c r="AC19" s="89">
        <f t="shared" si="3"/>
        <v>1166445.4856401035</v>
      </c>
      <c r="AD19" s="5"/>
      <c r="AE19" s="115"/>
      <c r="AF19" s="153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134" t="s">
        <v>83</v>
      </c>
      <c r="B20" s="2">
        <v>1063325.4449</v>
      </c>
      <c r="C20" s="2">
        <v>113083.86240000001</v>
      </c>
      <c r="D20" s="89">
        <f t="shared" si="1"/>
        <v>1176409.3073</v>
      </c>
      <c r="E20" s="2">
        <v>16.916</v>
      </c>
      <c r="F20" s="89">
        <f t="shared" si="2"/>
        <v>1176426.2233</v>
      </c>
      <c r="G20" s="2">
        <v>0</v>
      </c>
      <c r="H20" s="2">
        <v>0</v>
      </c>
      <c r="I20" s="2">
        <v>0</v>
      </c>
      <c r="J20" s="2">
        <v>27529.377499999995</v>
      </c>
      <c r="K20" s="2">
        <v>0</v>
      </c>
      <c r="L20" s="2">
        <v>9.1000000000000004E-3</v>
      </c>
      <c r="M20" s="2">
        <v>0</v>
      </c>
      <c r="N20" s="2">
        <v>3289.3077999999996</v>
      </c>
      <c r="O20" s="2">
        <v>5881.3331000000007</v>
      </c>
      <c r="P20" s="2">
        <v>2724.2884845280287</v>
      </c>
      <c r="Q20" s="2">
        <v>15509.3503</v>
      </c>
      <c r="R20" s="2">
        <v>5370.8858</v>
      </c>
      <c r="S20" s="2">
        <v>0</v>
      </c>
      <c r="T20" s="2">
        <v>3669.7956874682636</v>
      </c>
      <c r="U20" s="2">
        <v>22</v>
      </c>
      <c r="V20" s="2">
        <v>6713.8157000000001</v>
      </c>
      <c r="W20" s="89">
        <f t="shared" si="0"/>
        <v>1247136.386771996</v>
      </c>
      <c r="X20" s="3"/>
      <c r="Y20" s="135">
        <v>13609.117109999999</v>
      </c>
      <c r="Z20" s="40"/>
      <c r="AA20" s="41"/>
      <c r="AB20" s="3"/>
      <c r="AC20" s="89">
        <f t="shared" si="3"/>
        <v>1260745.503881996</v>
      </c>
      <c r="AD20" s="5"/>
      <c r="AE20" s="115"/>
      <c r="AF20" s="153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134" t="s">
        <v>84</v>
      </c>
      <c r="B21" s="2">
        <v>1937630.2203999998</v>
      </c>
      <c r="C21" s="2">
        <v>431603.40779999993</v>
      </c>
      <c r="D21" s="89">
        <f t="shared" si="1"/>
        <v>2369233.6281999997</v>
      </c>
      <c r="E21" s="2">
        <v>51.41599999999999</v>
      </c>
      <c r="F21" s="89">
        <f t="shared" si="2"/>
        <v>2369285.0441999999</v>
      </c>
      <c r="G21" s="2">
        <v>0</v>
      </c>
      <c r="H21" s="2">
        <v>0</v>
      </c>
      <c r="I21" s="2">
        <v>0</v>
      </c>
      <c r="J21" s="2">
        <v>55442.885700000006</v>
      </c>
      <c r="K21" s="2">
        <v>0</v>
      </c>
      <c r="L21" s="2">
        <v>1.9199999999999998E-2</v>
      </c>
      <c r="M21" s="2">
        <v>0</v>
      </c>
      <c r="N21" s="2">
        <v>6624.5323999999991</v>
      </c>
      <c r="O21" s="2">
        <v>13772.9521</v>
      </c>
      <c r="P21" s="2">
        <v>2114.5761142093629</v>
      </c>
      <c r="Q21" s="2">
        <v>31018.7003</v>
      </c>
      <c r="R21" s="2">
        <v>3667.1288</v>
      </c>
      <c r="S21" s="2">
        <v>0</v>
      </c>
      <c r="T21" s="2">
        <v>2848.4730412716513</v>
      </c>
      <c r="U21" s="2">
        <v>22</v>
      </c>
      <c r="V21" s="2">
        <v>13521.352299999999</v>
      </c>
      <c r="W21" s="89">
        <f t="shared" si="0"/>
        <v>2498317.6641554809</v>
      </c>
      <c r="X21" s="3"/>
      <c r="Y21" s="135">
        <v>66119.703881999987</v>
      </c>
      <c r="Z21" s="40"/>
      <c r="AA21" s="41"/>
      <c r="AB21" s="3"/>
      <c r="AC21" s="89">
        <f t="shared" si="3"/>
        <v>2564437.3680374809</v>
      </c>
      <c r="AD21" s="5"/>
      <c r="AE21" s="115"/>
      <c r="AF21" s="153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134" t="s">
        <v>85</v>
      </c>
      <c r="B22" s="2">
        <v>1506433.5713</v>
      </c>
      <c r="C22" s="2">
        <v>370349.64919999999</v>
      </c>
      <c r="D22" s="89">
        <f t="shared" si="1"/>
        <v>1876783.2204999998</v>
      </c>
      <c r="E22" s="2">
        <v>28.417000000000005</v>
      </c>
      <c r="F22" s="89">
        <f t="shared" si="2"/>
        <v>1876811.6374999997</v>
      </c>
      <c r="G22" s="2">
        <v>0</v>
      </c>
      <c r="H22" s="2">
        <v>0</v>
      </c>
      <c r="I22" s="2">
        <v>0</v>
      </c>
      <c r="J22" s="2">
        <v>43918.960300000006</v>
      </c>
      <c r="K22" s="2">
        <v>3258.8510000000001</v>
      </c>
      <c r="L22" s="2">
        <v>1.43E-2</v>
      </c>
      <c r="M22" s="2">
        <v>8737.8237999999983</v>
      </c>
      <c r="N22" s="2">
        <v>5247.5119000000004</v>
      </c>
      <c r="O22" s="2">
        <v>9206.8635999999988</v>
      </c>
      <c r="P22" s="2">
        <v>2735.1811806649944</v>
      </c>
      <c r="Q22" s="2">
        <v>36446.972999999998</v>
      </c>
      <c r="R22" s="2">
        <v>4090.2960000000003</v>
      </c>
      <c r="S22" s="2">
        <v>0</v>
      </c>
      <c r="T22" s="2">
        <v>3684.4688652898867</v>
      </c>
      <c r="U22" s="2">
        <v>22</v>
      </c>
      <c r="V22" s="2">
        <v>10710.712</v>
      </c>
      <c r="W22" s="89">
        <f t="shared" si="0"/>
        <v>2004871.2934459546</v>
      </c>
      <c r="X22" s="3"/>
      <c r="Y22" s="135">
        <v>91776.091963710001</v>
      </c>
      <c r="Z22" s="40"/>
      <c r="AA22" s="41"/>
      <c r="AB22" s="3"/>
      <c r="AC22" s="89">
        <f t="shared" si="3"/>
        <v>2096647.3854096646</v>
      </c>
      <c r="AD22" s="5"/>
      <c r="AE22" s="115"/>
      <c r="AF22" s="153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134" t="s">
        <v>86</v>
      </c>
      <c r="B23" s="2">
        <v>825883.90539999993</v>
      </c>
      <c r="C23" s="2">
        <v>160202.13830000002</v>
      </c>
      <c r="D23" s="89">
        <f t="shared" si="1"/>
        <v>986086.04369999992</v>
      </c>
      <c r="E23" s="2">
        <v>14.498999999999999</v>
      </c>
      <c r="F23" s="89">
        <f t="shared" si="2"/>
        <v>986100.54269999987</v>
      </c>
      <c r="G23" s="2">
        <v>0</v>
      </c>
      <c r="H23" s="2">
        <v>0</v>
      </c>
      <c r="I23" s="2">
        <v>0</v>
      </c>
      <c r="J23" s="2">
        <v>23075.586600000002</v>
      </c>
      <c r="K23" s="2">
        <v>1465.5965999999999</v>
      </c>
      <c r="L23" s="2">
        <v>1.2699999999999999E-2</v>
      </c>
      <c r="M23" s="2">
        <v>3929.6442999999999</v>
      </c>
      <c r="N23" s="2">
        <v>2757.0911000000001</v>
      </c>
      <c r="O23" s="2">
        <v>11711.875199999999</v>
      </c>
      <c r="P23" s="2">
        <v>2428.8944249781534</v>
      </c>
      <c r="Q23" s="2">
        <v>33345.102899999998</v>
      </c>
      <c r="R23" s="2">
        <v>4958.5852999999997</v>
      </c>
      <c r="S23" s="2">
        <v>0</v>
      </c>
      <c r="T23" s="2">
        <v>3271.8804696478946</v>
      </c>
      <c r="U23" s="2">
        <v>25</v>
      </c>
      <c r="V23" s="2">
        <v>5627.5065999999997</v>
      </c>
      <c r="W23" s="89">
        <f t="shared" si="0"/>
        <v>1078697.3188946259</v>
      </c>
      <c r="X23" s="3"/>
      <c r="Y23" s="135">
        <v>24131.307368999998</v>
      </c>
      <c r="Z23" s="40"/>
      <c r="AA23" s="41"/>
      <c r="AB23" s="3"/>
      <c r="AC23" s="89">
        <f t="shared" si="3"/>
        <v>1102828.6262636259</v>
      </c>
      <c r="AD23" s="5"/>
      <c r="AE23" s="115"/>
      <c r="AF23" s="153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134" t="s">
        <v>87</v>
      </c>
      <c r="B24" s="2">
        <v>1261124.9634</v>
      </c>
      <c r="C24" s="2">
        <v>172452.88990000001</v>
      </c>
      <c r="D24" s="89">
        <f t="shared" si="1"/>
        <v>1433577.8533000001</v>
      </c>
      <c r="E24" s="2">
        <v>12.167000000000002</v>
      </c>
      <c r="F24" s="89">
        <f t="shared" si="2"/>
        <v>1433590.0203</v>
      </c>
      <c r="G24" s="2">
        <v>0</v>
      </c>
      <c r="H24" s="2">
        <v>0</v>
      </c>
      <c r="I24" s="2">
        <v>0</v>
      </c>
      <c r="J24" s="2">
        <v>33547.4274</v>
      </c>
      <c r="K24" s="2">
        <v>0</v>
      </c>
      <c r="L24" s="2">
        <v>1.47E-2</v>
      </c>
      <c r="M24" s="2">
        <v>0</v>
      </c>
      <c r="N24" s="2">
        <v>4008.4022</v>
      </c>
      <c r="O24" s="2">
        <v>8875.3544999999995</v>
      </c>
      <c r="P24" s="2">
        <v>2256.8776963768078</v>
      </c>
      <c r="Q24" s="2">
        <v>34896.037800000006</v>
      </c>
      <c r="R24" s="2">
        <v>4464.9103999999998</v>
      </c>
      <c r="S24" s="2">
        <v>0</v>
      </c>
      <c r="T24" s="2">
        <v>3040.1626275377407</v>
      </c>
      <c r="U24" s="2">
        <v>25</v>
      </c>
      <c r="V24" s="2">
        <v>8181.5617999999995</v>
      </c>
      <c r="W24" s="89">
        <f t="shared" si="0"/>
        <v>1532885.7694239141</v>
      </c>
      <c r="X24" s="3"/>
      <c r="Y24" s="135">
        <v>22188.301170000002</v>
      </c>
      <c r="Z24" s="40"/>
      <c r="AA24" s="41"/>
      <c r="AB24" s="3"/>
      <c r="AC24" s="89">
        <f t="shared" si="3"/>
        <v>1555074.0705939142</v>
      </c>
      <c r="AD24" s="5"/>
      <c r="AE24" s="115"/>
      <c r="AF24" s="153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134" t="s">
        <v>88</v>
      </c>
      <c r="B25" s="2">
        <v>1819626.2387999999</v>
      </c>
      <c r="C25" s="2">
        <v>358098.89720000001</v>
      </c>
      <c r="D25" s="89">
        <f t="shared" si="1"/>
        <v>2177725.1359999999</v>
      </c>
      <c r="E25" s="2">
        <v>33.167000000000002</v>
      </c>
      <c r="F25" s="89">
        <f t="shared" si="2"/>
        <v>2177758.3029999998</v>
      </c>
      <c r="G25" s="2">
        <v>0</v>
      </c>
      <c r="H25" s="2">
        <v>0</v>
      </c>
      <c r="I25" s="2">
        <v>0</v>
      </c>
      <c r="J25" s="2">
        <v>50961.359100000001</v>
      </c>
      <c r="K25" s="2">
        <v>0</v>
      </c>
      <c r="L25" s="2">
        <v>1.95E-2</v>
      </c>
      <c r="M25" s="2">
        <v>0</v>
      </c>
      <c r="N25" s="2">
        <v>6089.1045000000013</v>
      </c>
      <c r="O25" s="2">
        <v>10577.5424</v>
      </c>
      <c r="P25" s="2">
        <v>2308.8818816279636</v>
      </c>
      <c r="Q25" s="2">
        <v>31018.7003</v>
      </c>
      <c r="R25" s="2">
        <v>5588.1004000000003</v>
      </c>
      <c r="S25" s="2">
        <v>0</v>
      </c>
      <c r="T25" s="2">
        <v>3110.2156839447707</v>
      </c>
      <c r="U25" s="2">
        <v>25</v>
      </c>
      <c r="V25" s="2">
        <v>12428.489300000003</v>
      </c>
      <c r="W25" s="89">
        <f t="shared" si="0"/>
        <v>2299865.716065573</v>
      </c>
      <c r="X25" s="3"/>
      <c r="Y25" s="135">
        <v>174713.51936900005</v>
      </c>
      <c r="Z25" s="40"/>
      <c r="AA25" s="41"/>
      <c r="AB25" s="3"/>
      <c r="AC25" s="89">
        <f t="shared" si="3"/>
        <v>2474579.2354345731</v>
      </c>
      <c r="AD25" s="5"/>
      <c r="AE25" s="115"/>
      <c r="AF25" s="153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134" t="s">
        <v>89</v>
      </c>
      <c r="B26" s="2">
        <v>1685907.5755999996</v>
      </c>
      <c r="C26" s="2">
        <v>234649.01440000001</v>
      </c>
      <c r="D26" s="89">
        <f t="shared" si="1"/>
        <v>1920556.5899999996</v>
      </c>
      <c r="E26" s="2">
        <v>25.082999999999995</v>
      </c>
      <c r="F26" s="89">
        <f t="shared" si="2"/>
        <v>1920581.6729999997</v>
      </c>
      <c r="G26" s="2">
        <v>0</v>
      </c>
      <c r="H26" s="2">
        <v>0</v>
      </c>
      <c r="I26" s="2">
        <v>0</v>
      </c>
      <c r="J26" s="2">
        <v>44943.309299999994</v>
      </c>
      <c r="K26" s="2">
        <v>0</v>
      </c>
      <c r="L26" s="2">
        <v>1.0999999999999999E-2</v>
      </c>
      <c r="M26" s="2">
        <v>0</v>
      </c>
      <c r="N26" s="2">
        <v>5370.0100999999995</v>
      </c>
      <c r="O26" s="2">
        <v>7881.5591999999997</v>
      </c>
      <c r="P26" s="2">
        <v>2139.0029718991641</v>
      </c>
      <c r="Q26" s="2">
        <v>28304.564100000003</v>
      </c>
      <c r="R26" s="2">
        <v>3648.4027999999998</v>
      </c>
      <c r="S26" s="2">
        <v>0</v>
      </c>
      <c r="T26" s="2">
        <v>2881.3776244204537</v>
      </c>
      <c r="U26" s="2">
        <v>22</v>
      </c>
      <c r="V26" s="2">
        <v>10960.7433</v>
      </c>
      <c r="W26" s="89">
        <f t="shared" si="0"/>
        <v>2026732.6533963196</v>
      </c>
      <c r="X26" s="3"/>
      <c r="Y26" s="135">
        <v>27820.126703999998</v>
      </c>
      <c r="Z26" s="40"/>
      <c r="AA26" s="41"/>
      <c r="AB26" s="3"/>
      <c r="AC26" s="89">
        <f t="shared" si="3"/>
        <v>2054552.7801003195</v>
      </c>
      <c r="AD26" s="5"/>
      <c r="AE26" s="115"/>
      <c r="AF26" s="153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134" t="s">
        <v>90</v>
      </c>
      <c r="B27" s="2">
        <v>1160143.0733</v>
      </c>
      <c r="C27" s="2">
        <v>136643.00029999999</v>
      </c>
      <c r="D27" s="89">
        <f t="shared" si="1"/>
        <v>1296786.0736</v>
      </c>
      <c r="E27" s="2">
        <v>15.751000000000001</v>
      </c>
      <c r="F27" s="89">
        <f t="shared" si="2"/>
        <v>1296801.8245999999</v>
      </c>
      <c r="G27" s="2">
        <v>0</v>
      </c>
      <c r="H27" s="2">
        <v>0</v>
      </c>
      <c r="I27" s="2">
        <v>0</v>
      </c>
      <c r="J27" s="2">
        <v>30346.337</v>
      </c>
      <c r="K27" s="2">
        <v>0</v>
      </c>
      <c r="L27" s="2">
        <v>9.1000000000000004E-3</v>
      </c>
      <c r="M27" s="2">
        <v>0</v>
      </c>
      <c r="N27" s="2">
        <v>3625.8164999999999</v>
      </c>
      <c r="O27" s="2">
        <v>6139.0061999999998</v>
      </c>
      <c r="P27" s="2">
        <v>2095.4161135366749</v>
      </c>
      <c r="Q27" s="2">
        <v>28304.564100000003</v>
      </c>
      <c r="R27" s="2">
        <v>4178.9561999999996</v>
      </c>
      <c r="S27" s="2">
        <v>0</v>
      </c>
      <c r="T27" s="2">
        <v>2822.6632607509114</v>
      </c>
      <c r="U27" s="2">
        <v>22</v>
      </c>
      <c r="V27" s="2">
        <v>7400.6644999999999</v>
      </c>
      <c r="W27" s="89">
        <f t="shared" si="0"/>
        <v>1381737.2575742872</v>
      </c>
      <c r="X27" s="3"/>
      <c r="Y27" s="135">
        <v>0</v>
      </c>
      <c r="Z27" s="40"/>
      <c r="AA27" s="41"/>
      <c r="AB27" s="3"/>
      <c r="AC27" s="89">
        <f t="shared" si="3"/>
        <v>1381737.2575742872</v>
      </c>
      <c r="AD27" s="5"/>
      <c r="AE27" s="115"/>
      <c r="AF27" s="153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134" t="s">
        <v>91</v>
      </c>
      <c r="B28" s="2">
        <v>826919.52519999992</v>
      </c>
      <c r="C28" s="2">
        <v>71619.779399999999</v>
      </c>
      <c r="D28" s="89">
        <f t="shared" si="1"/>
        <v>898539.30459999992</v>
      </c>
      <c r="E28" s="2">
        <v>7.0830000000000011</v>
      </c>
      <c r="F28" s="89">
        <f t="shared" si="2"/>
        <v>898546.3875999999</v>
      </c>
      <c r="G28" s="2">
        <v>0</v>
      </c>
      <c r="H28" s="2">
        <v>0</v>
      </c>
      <c r="I28" s="2">
        <v>0</v>
      </c>
      <c r="J28" s="2">
        <v>21026.8887</v>
      </c>
      <c r="K28" s="2">
        <v>1900.3103000000001</v>
      </c>
      <c r="L28" s="2">
        <v>9.1000000000000004E-3</v>
      </c>
      <c r="M28" s="2">
        <v>5095.2239</v>
      </c>
      <c r="N28" s="2">
        <v>2512.4159000000004</v>
      </c>
      <c r="O28" s="2">
        <v>7069.5681999999997</v>
      </c>
      <c r="P28" s="2">
        <v>2948.3683357572072</v>
      </c>
      <c r="Q28" s="2">
        <v>24814.960199999998</v>
      </c>
      <c r="R28" s="2">
        <v>8704.3714999999993</v>
      </c>
      <c r="S28" s="2">
        <v>0</v>
      </c>
      <c r="T28" s="2">
        <v>3971.6459784443205</v>
      </c>
      <c r="U28" s="2">
        <v>30</v>
      </c>
      <c r="V28" s="2">
        <v>5128.0994999999994</v>
      </c>
      <c r="W28" s="89">
        <f t="shared" si="0"/>
        <v>981748.24921420147</v>
      </c>
      <c r="X28" s="3"/>
      <c r="Y28" s="135">
        <v>3349.9996199999996</v>
      </c>
      <c r="Z28" s="40"/>
      <c r="AA28" s="41"/>
      <c r="AB28" s="3"/>
      <c r="AC28" s="89">
        <f t="shared" si="3"/>
        <v>985098.24883420148</v>
      </c>
      <c r="AD28" s="5"/>
      <c r="AE28" s="115"/>
      <c r="AF28" s="153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134" t="s">
        <v>92</v>
      </c>
      <c r="B29" s="2">
        <v>4545198.5513000004</v>
      </c>
      <c r="C29" s="2">
        <v>631384.89780000004</v>
      </c>
      <c r="D29" s="89">
        <f t="shared" si="1"/>
        <v>5176583.4491000008</v>
      </c>
      <c r="E29" s="2">
        <v>112.90800000000002</v>
      </c>
      <c r="F29" s="89">
        <f t="shared" si="2"/>
        <v>5176696.3571000006</v>
      </c>
      <c r="G29" s="2">
        <v>0</v>
      </c>
      <c r="H29" s="2">
        <v>0</v>
      </c>
      <c r="I29" s="2">
        <v>0</v>
      </c>
      <c r="J29" s="2">
        <v>121125.8679</v>
      </c>
      <c r="K29" s="2">
        <v>26125.528699999999</v>
      </c>
      <c r="L29" s="2">
        <v>3.7700000000000004E-2</v>
      </c>
      <c r="M29" s="2">
        <v>70062.426099999997</v>
      </c>
      <c r="N29" s="2">
        <v>14502.5612</v>
      </c>
      <c r="O29" s="2">
        <v>30523.5363</v>
      </c>
      <c r="P29" s="2">
        <v>1857.7324475358807</v>
      </c>
      <c r="Q29" s="2">
        <v>44662.501600000003</v>
      </c>
      <c r="R29" s="2">
        <v>3026.2310000000002</v>
      </c>
      <c r="S29" s="2">
        <v>0</v>
      </c>
      <c r="T29" s="2">
        <v>2502.487736925681</v>
      </c>
      <c r="U29" s="2">
        <v>5</v>
      </c>
      <c r="V29" s="2">
        <v>29539.986499999999</v>
      </c>
      <c r="W29" s="89">
        <f t="shared" si="0"/>
        <v>5520630.254284461</v>
      </c>
      <c r="X29" s="3"/>
      <c r="Y29" s="135">
        <v>69015.391892999993</v>
      </c>
      <c r="Z29" s="40"/>
      <c r="AA29" s="41"/>
      <c r="AB29" s="3"/>
      <c r="AC29" s="89">
        <f t="shared" si="3"/>
        <v>5589645.6461774614</v>
      </c>
      <c r="AD29" s="5"/>
      <c r="AE29" s="115"/>
      <c r="AF29" s="153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134" t="s">
        <v>93</v>
      </c>
      <c r="B30" s="2">
        <v>2032596.8598000002</v>
      </c>
      <c r="C30" s="2">
        <v>314750.08310000005</v>
      </c>
      <c r="D30" s="89">
        <f t="shared" si="1"/>
        <v>2347346.9429000001</v>
      </c>
      <c r="E30" s="2">
        <v>26.332999999999995</v>
      </c>
      <c r="F30" s="89">
        <f t="shared" si="2"/>
        <v>2347373.2759000002</v>
      </c>
      <c r="G30" s="2">
        <v>0</v>
      </c>
      <c r="H30" s="2">
        <v>0</v>
      </c>
      <c r="I30" s="2">
        <v>0</v>
      </c>
      <c r="J30" s="2">
        <v>54930.7114</v>
      </c>
      <c r="K30" s="2">
        <v>0</v>
      </c>
      <c r="L30" s="2">
        <v>1.84E-2</v>
      </c>
      <c r="M30" s="2">
        <v>0</v>
      </c>
      <c r="N30" s="2">
        <v>6563.3636000000006</v>
      </c>
      <c r="O30" s="2">
        <v>12237.9074</v>
      </c>
      <c r="P30" s="2">
        <v>2476.9444490413753</v>
      </c>
      <c r="Q30" s="2">
        <v>33345.102899999998</v>
      </c>
      <c r="R30" s="2">
        <v>4384.4922999999999</v>
      </c>
      <c r="S30" s="2">
        <v>0</v>
      </c>
      <c r="T30" s="2">
        <v>3336.6070109375164</v>
      </c>
      <c r="U30" s="2">
        <v>22</v>
      </c>
      <c r="V30" s="2">
        <v>13396.5005</v>
      </c>
      <c r="W30" s="89">
        <f t="shared" si="0"/>
        <v>2478066.9238599786</v>
      </c>
      <c r="X30" s="3"/>
      <c r="Y30" s="135">
        <v>76819.817961000008</v>
      </c>
      <c r="Z30" s="40"/>
      <c r="AA30" s="41"/>
      <c r="AB30" s="3"/>
      <c r="AC30" s="89">
        <f t="shared" si="3"/>
        <v>2554886.7418209785</v>
      </c>
      <c r="AD30" s="5"/>
      <c r="AE30" s="115"/>
      <c r="AF30" s="153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134" t="s">
        <v>94</v>
      </c>
      <c r="B31" s="2">
        <v>2311923.8805</v>
      </c>
      <c r="C31" s="2">
        <v>391081.69050000003</v>
      </c>
      <c r="D31" s="89">
        <f t="shared" si="1"/>
        <v>2703005.571</v>
      </c>
      <c r="E31" s="2">
        <v>46.5</v>
      </c>
      <c r="F31" s="89">
        <f t="shared" si="2"/>
        <v>2703052.071</v>
      </c>
      <c r="G31" s="2">
        <v>0</v>
      </c>
      <c r="H31" s="2">
        <v>0</v>
      </c>
      <c r="I31" s="2">
        <v>0</v>
      </c>
      <c r="J31" s="2">
        <v>63253.546299999995</v>
      </c>
      <c r="K31" s="2">
        <v>0</v>
      </c>
      <c r="L31" s="2">
        <v>1.67E-2</v>
      </c>
      <c r="M31" s="2">
        <v>0</v>
      </c>
      <c r="N31" s="2">
        <v>7557.7979999999989</v>
      </c>
      <c r="O31" s="2">
        <v>10509.698</v>
      </c>
      <c r="P31" s="2">
        <v>1907.7863418896302</v>
      </c>
      <c r="Q31" s="2">
        <v>32569.635299999998</v>
      </c>
      <c r="R31" s="2">
        <v>4682.9219999999996</v>
      </c>
      <c r="S31" s="2">
        <v>0</v>
      </c>
      <c r="T31" s="2">
        <v>2569.9136233387462</v>
      </c>
      <c r="U31" s="2">
        <v>22</v>
      </c>
      <c r="V31" s="2">
        <v>15426.243400000001</v>
      </c>
      <c r="W31" s="89">
        <f t="shared" si="0"/>
        <v>2841551.6306652282</v>
      </c>
      <c r="X31" s="3"/>
      <c r="Y31" s="135">
        <v>124800.28719590002</v>
      </c>
      <c r="Z31" s="40"/>
      <c r="AA31" s="41"/>
      <c r="AB31" s="3"/>
      <c r="AC31" s="89">
        <f t="shared" si="3"/>
        <v>2966351.9178611282</v>
      </c>
      <c r="AD31" s="5"/>
      <c r="AE31" s="115"/>
      <c r="AF31" s="153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thickBot="1" x14ac:dyDescent="0.3">
      <c r="A32" s="134" t="s">
        <v>95</v>
      </c>
      <c r="B32" s="2">
        <v>664919.48630000011</v>
      </c>
      <c r="C32" s="2">
        <v>35809.889900000002</v>
      </c>
      <c r="D32" s="89">
        <f t="shared" si="1"/>
        <v>700729.37620000006</v>
      </c>
      <c r="E32" s="2">
        <v>10</v>
      </c>
      <c r="F32" s="89">
        <f t="shared" si="2"/>
        <v>700739.37620000006</v>
      </c>
      <c r="G32" s="2">
        <v>0</v>
      </c>
      <c r="H32" s="2">
        <v>0</v>
      </c>
      <c r="I32" s="2">
        <v>0</v>
      </c>
      <c r="J32" s="2">
        <v>16397.828699999998</v>
      </c>
      <c r="K32" s="2">
        <v>168.56119999999999</v>
      </c>
      <c r="L32" s="2">
        <v>4.4000000000000003E-3</v>
      </c>
      <c r="M32" s="2">
        <v>451.95609999999999</v>
      </c>
      <c r="N32" s="2">
        <v>1959.3279</v>
      </c>
      <c r="O32" s="2">
        <v>5533.3004000000001</v>
      </c>
      <c r="P32" s="2">
        <v>2168.2091138706674</v>
      </c>
      <c r="Q32" s="2">
        <v>20549.888999999999</v>
      </c>
      <c r="R32" s="2">
        <v>2922.8550999999998</v>
      </c>
      <c r="S32" s="2">
        <v>0</v>
      </c>
      <c r="T32" s="2">
        <v>2920.7202177107665</v>
      </c>
      <c r="U32" s="2">
        <v>30</v>
      </c>
      <c r="V32" s="2">
        <v>3999.1901999999995</v>
      </c>
      <c r="W32" s="89">
        <f t="shared" si="0"/>
        <v>757841.21853158122</v>
      </c>
      <c r="X32" s="3"/>
      <c r="Y32" s="135">
        <v>1512.8997450899999</v>
      </c>
      <c r="Z32" s="40"/>
      <c r="AA32" s="41"/>
      <c r="AB32" s="3"/>
      <c r="AC32" s="89">
        <f t="shared" si="3"/>
        <v>759354.11827667127</v>
      </c>
      <c r="AD32" s="5"/>
      <c r="AE32" s="115"/>
      <c r="AF32" s="153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thickTop="1" thickBot="1" x14ac:dyDescent="0.25">
      <c r="A33" s="136" t="s">
        <v>20</v>
      </c>
      <c r="B33" s="137">
        <f t="shared" ref="B33:H33" si="4">SUM(B10:B32)</f>
        <v>48613078.82909999</v>
      </c>
      <c r="C33" s="137">
        <f t="shared" si="4"/>
        <v>8926086.196200002</v>
      </c>
      <c r="D33" s="83">
        <f>SUM(D10:D32)</f>
        <v>57539165.025300004</v>
      </c>
      <c r="E33" s="137">
        <f t="shared" si="4"/>
        <v>1070.1579999999999</v>
      </c>
      <c r="F33" s="83">
        <f t="shared" si="4"/>
        <v>57540235.183300011</v>
      </c>
      <c r="G33" s="137">
        <f t="shared" si="4"/>
        <v>0</v>
      </c>
      <c r="H33" s="137">
        <f t="shared" si="4"/>
        <v>0</v>
      </c>
      <c r="I33" s="137">
        <f t="shared" ref="I33:V33" si="5">SUM(I10:I32)</f>
        <v>0</v>
      </c>
      <c r="J33" s="137">
        <f t="shared" si="5"/>
        <v>1346469.9107999997</v>
      </c>
      <c r="K33" s="137">
        <f t="shared" si="5"/>
        <v>157189.57339999999</v>
      </c>
      <c r="L33" s="137">
        <f t="shared" si="5"/>
        <v>0.48869999999999991</v>
      </c>
      <c r="M33" s="137">
        <f t="shared" si="5"/>
        <v>421480.12640000001</v>
      </c>
      <c r="N33" s="137">
        <f t="shared" si="5"/>
        <v>160880.77700000003</v>
      </c>
      <c r="O33" s="137">
        <f t="shared" si="5"/>
        <v>321856.81019999995</v>
      </c>
      <c r="P33" s="137">
        <f t="shared" si="5"/>
        <v>53579.420218230007</v>
      </c>
      <c r="Q33" s="137">
        <f t="shared" si="5"/>
        <v>766535.4029999997</v>
      </c>
      <c r="R33" s="137">
        <f t="shared" si="5"/>
        <v>108239.98969999999</v>
      </c>
      <c r="S33" s="137">
        <f t="shared" si="5"/>
        <v>0</v>
      </c>
      <c r="T33" s="137">
        <f t="shared" si="5"/>
        <v>72175.001425819995</v>
      </c>
      <c r="U33" s="137">
        <f t="shared" si="5"/>
        <v>458</v>
      </c>
      <c r="V33" s="137">
        <f t="shared" si="5"/>
        <v>328374.22390000004</v>
      </c>
      <c r="W33" s="83">
        <f>SUM(W10:W32)</f>
        <v>61277474.908044055</v>
      </c>
      <c r="X33" s="138"/>
      <c r="Y33" s="83">
        <f>SUM(Y10:Y32)</f>
        <v>2719072.0811766987</v>
      </c>
      <c r="Z33" s="40"/>
      <c r="AA33" s="139"/>
      <c r="AB33" s="6"/>
      <c r="AC33" s="93">
        <f>SUM(AC10:AC32)</f>
        <v>63996546.989220746</v>
      </c>
      <c r="AD33" s="6"/>
      <c r="AE33" s="115"/>
      <c r="AF33" s="153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thickTop="1" x14ac:dyDescent="0.25">
      <c r="A34" s="134" t="s">
        <v>11</v>
      </c>
      <c r="B34" s="2">
        <v>904372.34979999997</v>
      </c>
      <c r="C34" s="2">
        <v>497106.402</v>
      </c>
      <c r="D34" s="89">
        <f t="shared" si="1"/>
        <v>1401478.7518</v>
      </c>
      <c r="E34" s="2">
        <v>0</v>
      </c>
      <c r="F34" s="89">
        <f t="shared" ref="F34:F39" si="6">SUM(D34:E34)</f>
        <v>1401478.7518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1.5900000000000001E-2</v>
      </c>
      <c r="M34" s="2">
        <v>0</v>
      </c>
      <c r="N34" s="2">
        <v>0</v>
      </c>
      <c r="O34" s="2">
        <v>0</v>
      </c>
      <c r="P34" s="2">
        <v>0</v>
      </c>
      <c r="Q34" s="2">
        <v>10081.077800000001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1411559.8455000001</v>
      </c>
      <c r="X34" s="3"/>
      <c r="Y34" s="135"/>
      <c r="Z34" s="40"/>
      <c r="AA34" s="41"/>
      <c r="AB34" s="3"/>
      <c r="AC34" s="89">
        <f>+W34+Y34+AA34</f>
        <v>1411559.8455000001</v>
      </c>
      <c r="AD34" s="5"/>
      <c r="AE34" s="115"/>
      <c r="AF34" s="153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134" t="s">
        <v>56</v>
      </c>
      <c r="B35" s="2">
        <v>458</v>
      </c>
      <c r="C35" s="2">
        <v>0</v>
      </c>
      <c r="D35" s="89">
        <f t="shared" si="1"/>
        <v>458</v>
      </c>
      <c r="E35" s="2">
        <v>0</v>
      </c>
      <c r="F35" s="89">
        <f t="shared" si="6"/>
        <v>458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135"/>
      <c r="Z35" s="40"/>
      <c r="AA35" s="41"/>
      <c r="AB35" s="3"/>
      <c r="AC35" s="89">
        <f t="shared" si="3"/>
        <v>0</v>
      </c>
      <c r="AD35" s="5"/>
      <c r="AE35" s="115"/>
      <c r="AF35" s="153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134" t="s">
        <v>57</v>
      </c>
      <c r="B36" s="2">
        <v>40282503.553900003</v>
      </c>
      <c r="C36" s="2">
        <v>0</v>
      </c>
      <c r="D36" s="89">
        <f t="shared" si="1"/>
        <v>40282503.553900003</v>
      </c>
      <c r="E36" s="2">
        <v>0</v>
      </c>
      <c r="F36" s="89">
        <f t="shared" si="6"/>
        <v>40282503.553900003</v>
      </c>
      <c r="G36" s="2">
        <v>0</v>
      </c>
      <c r="H36" s="2">
        <v>0</v>
      </c>
      <c r="I36" s="2">
        <v>0</v>
      </c>
      <c r="J36" s="2">
        <v>975436.54909999995</v>
      </c>
      <c r="K36" s="2">
        <v>0</v>
      </c>
      <c r="L36" s="2">
        <v>0.2402</v>
      </c>
      <c r="M36" s="2">
        <v>0</v>
      </c>
      <c r="N36" s="2">
        <v>0</v>
      </c>
      <c r="O36" s="2">
        <v>535160.05929999996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41793100.402499996</v>
      </c>
      <c r="X36" s="3"/>
      <c r="Y36" s="135">
        <v>-2719072.0811766996</v>
      </c>
      <c r="Z36" s="40"/>
      <c r="AA36" s="41"/>
      <c r="AB36" s="3"/>
      <c r="AC36" s="89">
        <f>+W36+Y36+AA36</f>
        <v>39074028.321323298</v>
      </c>
      <c r="AD36" s="5"/>
      <c r="AE36" s="115"/>
      <c r="AF36" s="153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134" t="s">
        <v>58</v>
      </c>
      <c r="B37" s="2">
        <v>0</v>
      </c>
      <c r="C37" s="2">
        <v>0</v>
      </c>
      <c r="D37" s="89">
        <f t="shared" si="1"/>
        <v>0</v>
      </c>
      <c r="E37" s="2">
        <v>0</v>
      </c>
      <c r="F37" s="89">
        <f t="shared" si="6"/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6280975.4838999994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764621.73269999993</v>
      </c>
      <c r="W37" s="89">
        <f>SUM(F37:V37)</f>
        <v>7045597.216599999</v>
      </c>
      <c r="X37" s="3"/>
      <c r="Y37" s="135"/>
      <c r="Z37" s="40"/>
      <c r="AA37" s="41"/>
      <c r="AB37" s="3"/>
      <c r="AC37" s="89">
        <f t="shared" si="3"/>
        <v>7045597.216599999</v>
      </c>
      <c r="AD37" s="5"/>
      <c r="AE37" s="115"/>
      <c r="AF37" s="153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thickBot="1" x14ac:dyDescent="0.3">
      <c r="A38" s="140" t="s">
        <v>59</v>
      </c>
      <c r="B38" s="2">
        <v>1001056.2514000001</v>
      </c>
      <c r="C38" s="2">
        <v>0</v>
      </c>
      <c r="D38" s="90">
        <f t="shared" si="1"/>
        <v>1001056.2514000001</v>
      </c>
      <c r="E38" s="2">
        <v>0</v>
      </c>
      <c r="F38" s="90">
        <f t="shared" si="6"/>
        <v>1001056.2514000001</v>
      </c>
      <c r="G38" s="2">
        <v>0</v>
      </c>
      <c r="H38" s="2">
        <v>0</v>
      </c>
      <c r="I38" s="2">
        <v>0</v>
      </c>
      <c r="J38" s="2">
        <v>23425.469400000002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90">
        <f>SUM(F38:V38)</f>
        <v>1024481.7208</v>
      </c>
      <c r="X38" s="3"/>
      <c r="Y38" s="141"/>
      <c r="Z38" s="40"/>
      <c r="AA38" s="41"/>
      <c r="AB38" s="3"/>
      <c r="AC38" s="90">
        <f t="shared" si="3"/>
        <v>1024481.7208</v>
      </c>
      <c r="AD38" s="5"/>
      <c r="AE38" s="115"/>
      <c r="AF38" s="153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thickTop="1" thickBot="1" x14ac:dyDescent="0.25">
      <c r="A39" s="142" t="s">
        <v>60</v>
      </c>
      <c r="B39" s="137">
        <f>SUM(B33:B38)</f>
        <v>90801468.984199986</v>
      </c>
      <c r="C39" s="137">
        <f>+C33+C34</f>
        <v>9423192.5982000027</v>
      </c>
      <c r="D39" s="137">
        <f>SUM(D33:D38)</f>
        <v>100224661.58239999</v>
      </c>
      <c r="E39" s="137">
        <f>SUM(E33:E38)</f>
        <v>1070.1579999999999</v>
      </c>
      <c r="F39" s="137">
        <f t="shared" si="6"/>
        <v>100225731.7404</v>
      </c>
      <c r="G39" s="137">
        <f>SUM(G33:G38)</f>
        <v>0</v>
      </c>
      <c r="H39" s="137">
        <f>SUM(H33:H38)</f>
        <v>0</v>
      </c>
      <c r="I39" s="137">
        <f t="shared" ref="I39:V39" si="7">SUM(I33:I38)</f>
        <v>0</v>
      </c>
      <c r="J39" s="137">
        <f t="shared" si="7"/>
        <v>2345331.9292999995</v>
      </c>
      <c r="K39" s="137">
        <f t="shared" si="7"/>
        <v>157189.57339999999</v>
      </c>
      <c r="L39" s="137">
        <f t="shared" si="7"/>
        <v>0.74479999999999991</v>
      </c>
      <c r="M39" s="137">
        <f t="shared" si="7"/>
        <v>6702455.6102999998</v>
      </c>
      <c r="N39" s="137">
        <f t="shared" si="7"/>
        <v>160880.77700000003</v>
      </c>
      <c r="O39" s="137">
        <f t="shared" si="7"/>
        <v>857016.86949999991</v>
      </c>
      <c r="P39" s="137">
        <f t="shared" si="7"/>
        <v>53579.420218230007</v>
      </c>
      <c r="Q39" s="137">
        <f t="shared" si="7"/>
        <v>776616.48079999967</v>
      </c>
      <c r="R39" s="137">
        <f t="shared" si="7"/>
        <v>108239.98969999999</v>
      </c>
      <c r="S39" s="137">
        <f t="shared" si="7"/>
        <v>0</v>
      </c>
      <c r="T39" s="137">
        <f t="shared" si="7"/>
        <v>72175.001425819995</v>
      </c>
      <c r="U39" s="137">
        <f t="shared" si="7"/>
        <v>458</v>
      </c>
      <c r="V39" s="137">
        <f t="shared" si="7"/>
        <v>1092995.9565999999</v>
      </c>
      <c r="W39" s="137">
        <f>+SUM(W33:W38)</f>
        <v>112552214.09344405</v>
      </c>
      <c r="X39" s="6"/>
      <c r="Y39" s="143">
        <f>+Y33+SUM(Y34:Y38)</f>
        <v>0</v>
      </c>
      <c r="Z39" s="40"/>
      <c r="AA39" s="144"/>
      <c r="AB39" s="6"/>
      <c r="AC39" s="145">
        <f>+SUM(AC33:AC38)</f>
        <v>112552214.09344403</v>
      </c>
      <c r="AD39" s="6"/>
      <c r="AE39" s="115"/>
      <c r="AF39" s="153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32.25" customHeight="1" thickTop="1" x14ac:dyDescent="0.2">
      <c r="A40" s="13" t="s">
        <v>112</v>
      </c>
      <c r="B40" s="11" t="s">
        <v>71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4"/>
      <c r="Z40" s="5"/>
      <c r="AA40" s="4"/>
      <c r="AB40" s="5"/>
      <c r="AC40" s="4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" t="s">
        <v>72</v>
      </c>
      <c r="C41" s="5"/>
      <c r="D41" s="5"/>
      <c r="E41" s="5"/>
      <c r="F41" s="5"/>
      <c r="G41" s="5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4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A42" s="5"/>
      <c r="B42" s="11" t="s">
        <v>113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11" t="s">
        <v>114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ht="15" customHeight="1" x14ac:dyDescent="0.2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s="5" customFormat="1" ht="15" customHeight="1" x14ac:dyDescent="0.2">
      <c r="B45" s="11"/>
      <c r="C45" s="146"/>
      <c r="W45" s="13"/>
      <c r="Y45" s="13"/>
      <c r="AA45" s="21" t="s">
        <v>12</v>
      </c>
    </row>
    <row r="46" spans="1:52" s="5" customFormat="1" ht="15" customHeight="1" x14ac:dyDescent="0.2">
      <c r="A46" s="11" t="s">
        <v>14</v>
      </c>
      <c r="B46" s="11"/>
      <c r="C46" s="146"/>
      <c r="W46" s="13"/>
      <c r="Y46" s="13"/>
      <c r="AA46" s="21"/>
    </row>
    <row r="47" spans="1:52" s="5" customFormat="1" ht="15" customHeight="1" x14ac:dyDescent="0.2">
      <c r="A47" s="147" t="s">
        <v>117</v>
      </c>
      <c r="B47" s="11"/>
      <c r="C47" s="146"/>
      <c r="W47" s="13"/>
      <c r="Y47" s="13"/>
      <c r="AA47" s="21"/>
      <c r="AC47" s="148"/>
    </row>
    <row r="48" spans="1:52" s="5" customFormat="1" ht="15" customHeight="1" thickBot="1" x14ac:dyDescent="0.25">
      <c r="A48" s="149" t="s">
        <v>115</v>
      </c>
      <c r="C48" s="146"/>
      <c r="V48" s="34"/>
      <c r="W48" s="34"/>
      <c r="X48" s="34"/>
      <c r="Y48" s="34"/>
      <c r="Z48" s="34"/>
      <c r="AA48" s="34"/>
      <c r="AB48" s="34"/>
      <c r="AC48" s="34"/>
      <c r="AE48" s="150"/>
    </row>
    <row r="49" spans="1:52" s="5" customFormat="1" ht="15" customHeight="1" x14ac:dyDescent="0.2">
      <c r="A49" s="96" t="s">
        <v>100</v>
      </c>
      <c r="B49" s="151"/>
      <c r="C49" s="152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</row>
    <row r="50" spans="1:52" s="5" customFormat="1" ht="15" customHeight="1" x14ac:dyDescent="0.2">
      <c r="B50" s="11"/>
      <c r="C50" s="146"/>
    </row>
    <row r="51" spans="1:52" s="5" customFormat="1" ht="15" customHeight="1" x14ac:dyDescent="0.2">
      <c r="B51" s="11"/>
      <c r="C51" s="146"/>
    </row>
    <row r="52" spans="1:52" s="5" customFormat="1" ht="15" customHeight="1" x14ac:dyDescent="0.2"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"/>
      <c r="Y52" s="11"/>
      <c r="Z52" s="11"/>
      <c r="AA52" s="11"/>
      <c r="AB52" s="11"/>
      <c r="AC52" s="11"/>
    </row>
    <row r="53" spans="1:52" s="5" customFormat="1" ht="15" customHeight="1" x14ac:dyDescent="0.2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</row>
    <row r="54" spans="1:52" s="5" customFormat="1" ht="15" customHeight="1" x14ac:dyDescent="0.2"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Y54" s="117"/>
      <c r="AC54" s="117"/>
    </row>
    <row r="55" spans="1:52" s="5" customFormat="1" ht="15" customHeight="1" x14ac:dyDescent="0.2">
      <c r="C55" s="146"/>
    </row>
    <row r="56" spans="1:52" s="5" customFormat="1" ht="15" customHeight="1" x14ac:dyDescent="0.2">
      <c r="B56" s="11"/>
      <c r="C56" s="31"/>
    </row>
    <row r="57" spans="1:52" ht="15" customHeight="1" x14ac:dyDescent="0.2">
      <c r="A57" s="5"/>
      <c r="B57" s="5"/>
      <c r="C57" s="5"/>
      <c r="D57" s="5"/>
      <c r="E57" s="5"/>
      <c r="F57" s="31"/>
      <c r="G57" s="31"/>
      <c r="H57" s="31"/>
      <c r="I57" s="31"/>
      <c r="J57" s="32"/>
      <c r="K57" s="31"/>
      <c r="L57" s="31"/>
      <c r="M57" s="31"/>
      <c r="N57" s="31"/>
      <c r="V57" s="21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ht="1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21"/>
      <c r="X58" s="5"/>
      <c r="Z58" s="5"/>
      <c r="AB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5" customHeight="1" x14ac:dyDescent="0.2">
      <c r="A59" s="5"/>
      <c r="B59" s="5"/>
      <c r="C59" s="5"/>
      <c r="D59" s="5"/>
      <c r="E59" s="5"/>
      <c r="W59" s="13"/>
      <c r="X59" s="5"/>
      <c r="Z59" s="5"/>
      <c r="AA59" s="33"/>
      <c r="AB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W60" s="13"/>
      <c r="X60" s="5"/>
      <c r="Z60" s="5"/>
      <c r="AA60" s="33"/>
      <c r="AB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W61" s="13"/>
      <c r="X61" s="5"/>
      <c r="Z61" s="5"/>
      <c r="AA61" s="33"/>
      <c r="AB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3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ht="1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ht="1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ht="1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ht="1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ht="1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ht="1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ht="1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ht="1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ht="15" customHeight="1" x14ac:dyDescent="0.2">
      <c r="W78" s="5"/>
      <c r="X78" s="5"/>
      <c r="Y78" s="5"/>
      <c r="Z78" s="5"/>
      <c r="AA78" s="5"/>
      <c r="AB78" s="5"/>
      <c r="AC78" s="5"/>
    </row>
    <row r="79" spans="1:52" ht="15" customHeight="1" x14ac:dyDescent="0.2"/>
    <row r="80" spans="1:52" ht="15" customHeight="1" x14ac:dyDescent="0.2"/>
  </sheetData>
  <mergeCells count="5">
    <mergeCell ref="G6:I7"/>
    <mergeCell ref="R6:T6"/>
    <mergeCell ref="R7:T7"/>
    <mergeCell ref="P8:P9"/>
    <mergeCell ref="T8:T9"/>
  </mergeCells>
  <printOptions horizontalCentered="1" verticalCentered="1" gridLinesSet="0"/>
  <pageMargins left="0" right="0" top="0" bottom="0" header="0" footer="0"/>
  <pageSetup paperSize="5" scale="18" pageOrder="overThenDown" orientation="landscape" horizontalDpi="4294967294" verticalDpi="4294967294" r:id="rId1"/>
  <headerFooter alignWithMargins="0"/>
  <ignoredErrors>
    <ignoredError sqref="F39 D33 W33 AC3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CONS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ssterp</dc:creator>
  <cp:lastModifiedBy>placun</cp:lastModifiedBy>
  <cp:lastPrinted>2019-08-30T17:25:38Z</cp:lastPrinted>
  <dcterms:created xsi:type="dcterms:W3CDTF">2010-02-01T15:39:58Z</dcterms:created>
  <dcterms:modified xsi:type="dcterms:W3CDTF">2026-10-30T18:51:29Z</dcterms:modified>
</cp:coreProperties>
</file>